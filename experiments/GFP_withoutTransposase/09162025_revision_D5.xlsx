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F30854D0-DBCE-AF42-8B07-D215579821F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2" l="1"/>
  <c r="V95" i="2"/>
  <c r="U95" i="2"/>
  <c r="T95" i="2"/>
  <c r="S95" i="2"/>
  <c r="R95" i="2"/>
  <c r="Q95" i="2"/>
  <c r="P95" i="2"/>
  <c r="O95" i="2"/>
  <c r="W94" i="2"/>
  <c r="W73" i="2" s="1"/>
  <c r="V94" i="2"/>
  <c r="V73" i="2" s="1"/>
  <c r="U94" i="2"/>
  <c r="U73" i="2" s="1"/>
  <c r="T94" i="2"/>
  <c r="S94" i="2"/>
  <c r="R94" i="2"/>
  <c r="Q94" i="2"/>
  <c r="P94" i="2"/>
  <c r="O94" i="2"/>
  <c r="W93" i="2"/>
  <c r="V93" i="2"/>
  <c r="U93" i="2"/>
  <c r="T93" i="2"/>
  <c r="S93" i="2"/>
  <c r="S72" i="2" s="1"/>
  <c r="R93" i="2"/>
  <c r="R72" i="2" s="1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W70" i="2" s="1"/>
  <c r="V91" i="2"/>
  <c r="V70" i="2" s="1"/>
  <c r="U91" i="2"/>
  <c r="T91" i="2"/>
  <c r="S91" i="2"/>
  <c r="R91" i="2"/>
  <c r="Q91" i="2"/>
  <c r="P91" i="2"/>
  <c r="O91" i="2"/>
  <c r="N95" i="2"/>
  <c r="N94" i="2"/>
  <c r="N93" i="2"/>
  <c r="N92" i="2"/>
  <c r="N91" i="2"/>
  <c r="L97" i="2"/>
  <c r="W33" i="2"/>
  <c r="V33" i="2"/>
  <c r="U33" i="2"/>
  <c r="T33" i="2"/>
  <c r="S33" i="2"/>
  <c r="R33" i="2"/>
  <c r="R74" i="2" s="1"/>
  <c r="Q33" i="2"/>
  <c r="Q74" i="2" s="1"/>
  <c r="P33" i="2"/>
  <c r="O33" i="2"/>
  <c r="O74" i="2" s="1"/>
  <c r="W32" i="2"/>
  <c r="V32" i="2"/>
  <c r="U32" i="2"/>
  <c r="T32" i="2"/>
  <c r="S32" i="2"/>
  <c r="R32" i="2"/>
  <c r="Q32" i="2"/>
  <c r="P32" i="2"/>
  <c r="O32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S30" i="2"/>
  <c r="R30" i="2"/>
  <c r="Q30" i="2"/>
  <c r="P30" i="2"/>
  <c r="O30" i="2"/>
  <c r="W29" i="2"/>
  <c r="V29" i="2"/>
  <c r="U29" i="2"/>
  <c r="T29" i="2"/>
  <c r="S29" i="2"/>
  <c r="R29" i="2"/>
  <c r="Q29" i="2"/>
  <c r="P29" i="2"/>
  <c r="O29" i="2"/>
  <c r="O70" i="2" s="1"/>
  <c r="N33" i="2"/>
  <c r="N32" i="2"/>
  <c r="N73" i="2" s="1"/>
  <c r="N31" i="2"/>
  <c r="N30" i="2"/>
  <c r="N71" i="2" s="1"/>
  <c r="N29" i="2"/>
  <c r="L35" i="2"/>
  <c r="P74" i="2"/>
  <c r="Q72" i="2"/>
  <c r="P72" i="2"/>
  <c r="O72" i="2"/>
  <c r="U70" i="2"/>
  <c r="T70" i="2"/>
  <c r="S70" i="2"/>
  <c r="N74" i="2"/>
  <c r="W74" i="2"/>
  <c r="V74" i="2"/>
  <c r="U74" i="2"/>
  <c r="T74" i="2"/>
  <c r="S74" i="2"/>
  <c r="P73" i="2"/>
  <c r="O73" i="2"/>
  <c r="W72" i="2"/>
  <c r="V72" i="2"/>
  <c r="U72" i="2"/>
  <c r="T72" i="2"/>
  <c r="R71" i="2"/>
  <c r="Q71" i="2"/>
  <c r="P71" i="2"/>
  <c r="O71" i="2"/>
  <c r="N70" i="2"/>
  <c r="S71" i="2" l="1"/>
  <c r="Q73" i="2"/>
  <c r="T71" i="2"/>
  <c r="U71" i="2"/>
  <c r="U76" i="2" s="1"/>
  <c r="U78" i="2" s="1"/>
  <c r="P70" i="2"/>
  <c r="P76" i="2" s="1"/>
  <c r="P78" i="2" s="1"/>
  <c r="R73" i="2"/>
  <c r="Q70" i="2"/>
  <c r="W71" i="2"/>
  <c r="W76" i="2" s="1"/>
  <c r="W78" i="2" s="1"/>
  <c r="S73" i="2"/>
  <c r="S76" i="2" s="1"/>
  <c r="S78" i="2" s="1"/>
  <c r="V71" i="2"/>
  <c r="V76" i="2" s="1"/>
  <c r="V78" i="2" s="1"/>
  <c r="R70" i="2"/>
  <c r="T73" i="2"/>
  <c r="N72" i="2"/>
  <c r="T76" i="2"/>
  <c r="T78" i="2" s="1"/>
  <c r="Q76" i="2"/>
  <c r="Q78" i="2" s="1"/>
  <c r="R76" i="2"/>
  <c r="R78" i="2" s="1"/>
  <c r="N76" i="2"/>
  <c r="N78" i="2" s="1"/>
  <c r="O76" i="2"/>
  <c r="O7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<sst xmlns="http://schemas.openxmlformats.org/spreadsheetml/2006/main" count="165" uniqueCount="75">
  <si>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</si>
  <si>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</si>
  <si>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</si>
  <si>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</si>
  <si>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</si>
  <si>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</si>
  <si>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</si>
  <si>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</si>
  <si>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</si>
  <si>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4:58:16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</si>
  <si>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</si>
  <si>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</si>
  <si>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</si>
  <si>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</si>
  <si>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</si>
  <si>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</si>
  <si>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</si>
  <si>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</si>
  <si>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</si>
  <si>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</si>
  <si>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</si>
  <si>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</si>
  <si>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</si>
  <si>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</si>
  <si>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</si>
  <si>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</si>
  <si>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</si>
  <si>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</si>
  <si>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</si>
  <si>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</si>
  <si>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</si>
  <si>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</si>
  <si>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</si>
  <si>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9/16/2025 4:58:21 PM</t>
  </si>
  <si>
    <t>Temperature: 26.7 °C</t>
  </si>
  <si>
    <t>&lt;&gt;</t>
  </si>
  <si>
    <t>B</t>
  </si>
  <si>
    <t>C</t>
  </si>
  <si>
    <t>D</t>
  </si>
  <si>
    <t>E</t>
  </si>
  <si>
    <t>F</t>
  </si>
  <si>
    <t>End Time:</t>
  </si>
  <si>
    <t>9/16/2025 4:58:47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</si>
  <si>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</si>
  <si>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</si>
  <si>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</si>
  <si>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</si>
  <si>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</si>
  <si>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</si>
  <si>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</si>
  <si>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</si>
  <si>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</si>
  <si>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</si>
  <si>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</si>
  <si>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</si>
  <si>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</si>
  <si>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9/16/2025 4:58:51 PM</t>
  </si>
  <si>
    <t>Temperature: 26.9 °C</t>
  </si>
  <si>
    <t>9/16/2025 4:59:39 PM</t>
  </si>
  <si>
    <t>Label: gfp 80</t>
  </si>
  <si>
    <t>9/16/2025 4:59:47 PM</t>
  </si>
  <si>
    <t>9/16/2025 5:00:35 PM</t>
  </si>
  <si>
    <t>Label: gfp100</t>
  </si>
  <si>
    <t>9/16/2025 5:00:43 PM</t>
  </si>
  <si>
    <t>Temperature: 27 °C</t>
  </si>
  <si>
    <t>9/16/2025 5:01:31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</si>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</sst>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0" borderId="6" xfId="0" applyBorder="1"/>
    <xf numFmtId="0" fontId="4" fillId="0" borderId="6" xfId="0" applyFont="1" applyBorder="1"/>
    <xf numFmtId="0" fontId="5" fillId="0" borderId="5" xfId="0" applyFont="1" applyBorder="1"/>
    <xf numFmtId="0" fontId="5" fillId="0" borderId="0" xfId="0" applyFont="1"/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/>
    <xf numFmtId="0" fontId="0" fillId="0" borderId="10" xfId="0" applyBorder="1"/>
    <xf numFmtId="0" fontId="5" fillId="0" borderId="9" xfId="0" applyFont="1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0" xfId="0" applyFon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0" workbookViewId="0">
      <selection activeCell="S86" sqref="S86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45916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1.1856000423431396</v>
      </c>
      <c r="C29">
        <v>0.85039997100830078</v>
      </c>
      <c r="D29">
        <v>0.90390002727508545</v>
      </c>
      <c r="E29">
        <v>1.0443999767303467</v>
      </c>
      <c r="F29">
        <v>1.1861000061035156</v>
      </c>
      <c r="G29">
        <v>1.1567000150680542</v>
      </c>
      <c r="H29">
        <v>1.0994999408721924</v>
      </c>
      <c r="I29">
        <v>0.88739997148513794</v>
      </c>
      <c r="J29">
        <v>1.215999960899353</v>
      </c>
      <c r="K29">
        <v>1.1103999614715576</v>
      </c>
      <c r="L29">
        <v>4.3699998408555984E-2</v>
      </c>
      <c r="N29">
        <f>B29-0.045</f>
        <v>1.1406000423431397</v>
      </c>
      <c r="O29">
        <f t="shared" ref="O29:O33" si="0">C29-0.045</f>
        <v>0.80539997100830074</v>
      </c>
      <c r="P29">
        <f t="shared" ref="P29:P33" si="1">D29-0.045</f>
        <v>0.85890002727508541</v>
      </c>
      <c r="Q29">
        <f t="shared" ref="Q29:Q33" si="2">E29-0.045</f>
        <v>0.99939997673034664</v>
      </c>
      <c r="R29">
        <f t="shared" ref="R29:R33" si="3">F29-0.045</f>
        <v>1.1411000061035157</v>
      </c>
      <c r="S29">
        <f t="shared" ref="S29:S33" si="4">G29-0.045</f>
        <v>1.1117000150680543</v>
      </c>
      <c r="T29">
        <f t="shared" ref="T29:T33" si="5">H29-0.045</f>
        <v>1.0544999408721925</v>
      </c>
      <c r="U29">
        <f t="shared" ref="U29:U33" si="6">I29-0.045</f>
        <v>0.8423999714851379</v>
      </c>
      <c r="V29">
        <f t="shared" ref="V29:V33" si="7">J29-0.045</f>
        <v>1.1709999608993531</v>
      </c>
      <c r="W29">
        <f t="shared" ref="W29:W33" si="8">K29-0.045</f>
        <v>1.0653999614715577</v>
      </c>
    </row>
    <row r="30" spans="1:23" x14ac:dyDescent="0.2">
      <c r="A30" s="4" t="s">
        <v>37</v>
      </c>
      <c r="B30">
        <v>1.0565999746322632</v>
      </c>
      <c r="C30">
        <v>1.1233999729156494</v>
      </c>
      <c r="D30">
        <v>1.1123000383377075</v>
      </c>
      <c r="E30">
        <v>0.88340002298355103</v>
      </c>
      <c r="F30">
        <v>1.1706999540328979</v>
      </c>
      <c r="G30">
        <v>1.0779999494552612</v>
      </c>
      <c r="H30">
        <v>0.97140002250671387</v>
      </c>
      <c r="I30">
        <v>1.2046999931335449</v>
      </c>
      <c r="J30">
        <v>1.194100022315979</v>
      </c>
      <c r="K30">
        <v>1.1711000204086304</v>
      </c>
      <c r="L30">
        <v>4.4900000095367432E-2</v>
      </c>
      <c r="N30">
        <f t="shared" ref="N30:N33" si="9">B30-0.045</f>
        <v>1.0115999746322633</v>
      </c>
      <c r="O30">
        <f t="shared" si="0"/>
        <v>1.0783999729156495</v>
      </c>
      <c r="P30">
        <f t="shared" si="1"/>
        <v>1.0673000383377076</v>
      </c>
      <c r="Q30">
        <f t="shared" si="2"/>
        <v>0.83840002298355099</v>
      </c>
      <c r="R30">
        <f t="shared" si="3"/>
        <v>1.125699954032898</v>
      </c>
      <c r="S30">
        <f t="shared" si="4"/>
        <v>1.0329999494552613</v>
      </c>
      <c r="T30">
        <f t="shared" si="5"/>
        <v>0.92640002250671383</v>
      </c>
      <c r="U30">
        <f t="shared" si="6"/>
        <v>1.159699993133545</v>
      </c>
      <c r="V30">
        <f t="shared" si="7"/>
        <v>1.1491000223159791</v>
      </c>
      <c r="W30">
        <f t="shared" si="8"/>
        <v>1.1261000204086304</v>
      </c>
    </row>
    <row r="31" spans="1:23" x14ac:dyDescent="0.2">
      <c r="A31" s="4" t="s">
        <v>38</v>
      </c>
      <c r="B31">
        <v>1.0296000242233276</v>
      </c>
      <c r="C31">
        <v>0.87790000438690186</v>
      </c>
      <c r="D31">
        <v>1.044700026512146</v>
      </c>
      <c r="E31">
        <v>1.0080000162124634</v>
      </c>
      <c r="F31">
        <v>1.1339000463485718</v>
      </c>
      <c r="G31">
        <v>0.94900000095367432</v>
      </c>
      <c r="H31">
        <v>1.0283999443054199</v>
      </c>
      <c r="I31">
        <v>1.1404000520706177</v>
      </c>
      <c r="J31">
        <v>1.1407999992370605</v>
      </c>
      <c r="K31">
        <v>1.0872000455856323</v>
      </c>
      <c r="L31">
        <v>4.6199999749660492E-2</v>
      </c>
      <c r="N31">
        <f t="shared" si="9"/>
        <v>0.9846000242233276</v>
      </c>
      <c r="O31">
        <f t="shared" si="0"/>
        <v>0.83290000438690182</v>
      </c>
      <c r="P31">
        <f t="shared" si="1"/>
        <v>0.99970002651214596</v>
      </c>
      <c r="Q31">
        <f t="shared" si="2"/>
        <v>0.96300001621246334</v>
      </c>
      <c r="R31">
        <f t="shared" si="3"/>
        <v>1.0889000463485718</v>
      </c>
      <c r="S31">
        <f t="shared" si="4"/>
        <v>0.90400000095367428</v>
      </c>
      <c r="T31">
        <f t="shared" si="5"/>
        <v>0.98339994430541988</v>
      </c>
      <c r="U31">
        <f t="shared" si="6"/>
        <v>1.0954000520706177</v>
      </c>
      <c r="V31">
        <f t="shared" si="7"/>
        <v>1.0957999992370606</v>
      </c>
      <c r="W31">
        <f t="shared" si="8"/>
        <v>1.0422000455856324</v>
      </c>
    </row>
    <row r="32" spans="1:23" x14ac:dyDescent="0.2">
      <c r="A32" s="4" t="s">
        <v>39</v>
      </c>
      <c r="B32">
        <v>0.94349998235702515</v>
      </c>
      <c r="C32">
        <v>1.0200999975204468</v>
      </c>
      <c r="D32">
        <v>1.0508999824523926</v>
      </c>
      <c r="E32">
        <v>0.73750001192092896</v>
      </c>
      <c r="F32">
        <v>1.0523999929428101</v>
      </c>
      <c r="G32">
        <v>1.0365999937057495</v>
      </c>
      <c r="H32">
        <v>1.1527999639511108</v>
      </c>
      <c r="I32">
        <v>1.1420999765396118</v>
      </c>
      <c r="J32">
        <v>0.85049998760223389</v>
      </c>
      <c r="K32">
        <v>1.103600025177002</v>
      </c>
      <c r="L32">
        <v>4.7200001776218414E-2</v>
      </c>
      <c r="N32">
        <f t="shared" si="9"/>
        <v>0.89849998235702511</v>
      </c>
      <c r="O32">
        <f t="shared" si="0"/>
        <v>0.97509999752044674</v>
      </c>
      <c r="P32">
        <f t="shared" si="1"/>
        <v>1.0058999824523926</v>
      </c>
      <c r="Q32">
        <f t="shared" si="2"/>
        <v>0.69250001192092892</v>
      </c>
      <c r="R32">
        <f t="shared" si="3"/>
        <v>1.0073999929428101</v>
      </c>
      <c r="S32">
        <f t="shared" si="4"/>
        <v>0.99159999370574947</v>
      </c>
      <c r="T32">
        <f t="shared" si="5"/>
        <v>1.1077999639511109</v>
      </c>
      <c r="U32">
        <f t="shared" si="6"/>
        <v>1.0970999765396119</v>
      </c>
      <c r="V32">
        <f t="shared" si="7"/>
        <v>0.80549998760223385</v>
      </c>
      <c r="W32">
        <f t="shared" si="8"/>
        <v>1.058600025177002</v>
      </c>
    </row>
    <row r="33" spans="1:23" x14ac:dyDescent="0.2">
      <c r="A33" s="4" t="s">
        <v>40</v>
      </c>
      <c r="B33">
        <v>1.0435999631881714</v>
      </c>
      <c r="C33">
        <v>0.9505000114440918</v>
      </c>
      <c r="D33">
        <v>1.0810999870300293</v>
      </c>
      <c r="E33">
        <v>0.87809997797012329</v>
      </c>
      <c r="F33">
        <v>1.051800012588501</v>
      </c>
      <c r="G33">
        <v>0.86440002918243408</v>
      </c>
      <c r="H33">
        <v>1.1141999959945679</v>
      </c>
      <c r="I33">
        <v>1.1270999908447266</v>
      </c>
      <c r="J33">
        <v>1.1476000547409058</v>
      </c>
      <c r="K33">
        <v>1.124500036239624</v>
      </c>
      <c r="L33">
        <v>4.479999840259552E-2</v>
      </c>
      <c r="N33">
        <f t="shared" si="9"/>
        <v>0.99859996318817135</v>
      </c>
      <c r="O33">
        <f t="shared" si="0"/>
        <v>0.90550001144409176</v>
      </c>
      <c r="P33">
        <f t="shared" si="1"/>
        <v>1.0360999870300294</v>
      </c>
      <c r="Q33">
        <f t="shared" si="2"/>
        <v>0.83309997797012325</v>
      </c>
      <c r="R33">
        <f t="shared" si="3"/>
        <v>1.006800012588501</v>
      </c>
      <c r="S33">
        <f t="shared" si="4"/>
        <v>0.81940002918243404</v>
      </c>
      <c r="T33">
        <f t="shared" si="5"/>
        <v>1.0691999959945679</v>
      </c>
      <c r="U33">
        <f t="shared" si="6"/>
        <v>1.0820999908447266</v>
      </c>
      <c r="V33">
        <f t="shared" si="7"/>
        <v>1.1026000547409058</v>
      </c>
      <c r="W33">
        <f t="shared" si="8"/>
        <v>1.0795000362396241</v>
      </c>
    </row>
    <row r="35" spans="1:23" x14ac:dyDescent="0.2">
      <c r="L35">
        <f>AVERAGE(L29:L31)</f>
        <v>4.4933332751194634E-2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23" x14ac:dyDescent="0.2">
      <c r="A49" t="s">
        <v>49</v>
      </c>
      <c r="E49">
        <v>50</v>
      </c>
      <c r="F49" t="s">
        <v>50</v>
      </c>
    </row>
    <row r="50" spans="1:23" x14ac:dyDescent="0.2">
      <c r="A50" t="s">
        <v>27</v>
      </c>
      <c r="E50">
        <v>25</v>
      </c>
    </row>
    <row r="51" spans="1:23" x14ac:dyDescent="0.2">
      <c r="A51" t="s">
        <v>51</v>
      </c>
      <c r="E51">
        <v>20</v>
      </c>
      <c r="F51" t="s">
        <v>52</v>
      </c>
    </row>
    <row r="52" spans="1:23" x14ac:dyDescent="0.2">
      <c r="A52" t="s">
        <v>53</v>
      </c>
      <c r="E52">
        <v>0</v>
      </c>
      <c r="F52" t="s">
        <v>52</v>
      </c>
    </row>
    <row r="53" spans="1:23" x14ac:dyDescent="0.2">
      <c r="A53" t="s">
        <v>28</v>
      </c>
      <c r="E53">
        <v>0</v>
      </c>
      <c r="F53" t="s">
        <v>29</v>
      </c>
    </row>
    <row r="54" spans="1:23" x14ac:dyDescent="0.2">
      <c r="A54" t="s">
        <v>54</v>
      </c>
      <c r="E54">
        <v>20000</v>
      </c>
      <c r="F54" t="s">
        <v>55</v>
      </c>
    </row>
    <row r="55" spans="1:23" x14ac:dyDescent="0.2">
      <c r="A55" t="s">
        <v>30</v>
      </c>
      <c r="E55" t="s">
        <v>31</v>
      </c>
    </row>
    <row r="56" spans="1:23" x14ac:dyDescent="0.2">
      <c r="A56" t="s">
        <v>32</v>
      </c>
      <c r="B56" s="2" t="s">
        <v>56</v>
      </c>
    </row>
    <row r="58" spans="1:23" x14ac:dyDescent="0.2">
      <c r="B58" t="s">
        <v>57</v>
      </c>
    </row>
    <row r="59" spans="1:23" ht="16" thickBot="1" x14ac:dyDescent="0.25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23" x14ac:dyDescent="0.2">
      <c r="A60" s="4" t="s">
        <v>36</v>
      </c>
      <c r="B60">
        <v>113</v>
      </c>
      <c r="C60">
        <v>298</v>
      </c>
      <c r="D60">
        <v>241</v>
      </c>
      <c r="E60">
        <v>113</v>
      </c>
      <c r="F60">
        <v>137</v>
      </c>
      <c r="G60">
        <v>112</v>
      </c>
      <c r="H60">
        <v>364</v>
      </c>
      <c r="I60">
        <v>135</v>
      </c>
      <c r="J60">
        <v>115</v>
      </c>
      <c r="K60">
        <v>131</v>
      </c>
      <c r="L60">
        <v>78</v>
      </c>
      <c r="N60" s="5">
        <v>973.6656152472375</v>
      </c>
      <c r="O60" s="6">
        <v>9955.7061538232228</v>
      </c>
      <c r="P60" s="6">
        <v>16688.52043269471</v>
      </c>
      <c r="Q60" s="7">
        <v>28206.491959944939</v>
      </c>
      <c r="R60" s="7">
        <v>1814.6074703201273</v>
      </c>
      <c r="S60" s="8">
        <v>926.35150553374376</v>
      </c>
      <c r="T60" s="6">
        <v>9513.3047117875885</v>
      </c>
      <c r="U60" s="6">
        <v>17308.208015150791</v>
      </c>
      <c r="V60" s="6">
        <v>49934.174903343686</v>
      </c>
      <c r="W60" s="9">
        <v>1954.5853640224204</v>
      </c>
    </row>
    <row r="61" spans="1:23" x14ac:dyDescent="0.2">
      <c r="A61" s="4" t="s">
        <v>37</v>
      </c>
      <c r="B61">
        <v>105</v>
      </c>
      <c r="C61">
        <v>433</v>
      </c>
      <c r="D61">
        <v>311</v>
      </c>
      <c r="E61">
        <v>100</v>
      </c>
      <c r="F61">
        <v>140</v>
      </c>
      <c r="G61">
        <v>106</v>
      </c>
      <c r="H61">
        <v>329</v>
      </c>
      <c r="I61">
        <v>179</v>
      </c>
      <c r="J61">
        <v>117</v>
      </c>
      <c r="K61">
        <v>141</v>
      </c>
      <c r="L61">
        <v>77</v>
      </c>
      <c r="N61" s="10">
        <v>1094.0361981294848</v>
      </c>
      <c r="O61" s="11">
        <v>10336.000047314454</v>
      </c>
      <c r="P61" s="11">
        <v>16797.549899451064</v>
      </c>
      <c r="Q61" s="12">
        <v>37563.177004735742</v>
      </c>
      <c r="R61" s="13">
        <v>1809.3266211237401</v>
      </c>
      <c r="S61" s="14">
        <v>895.3477362567362</v>
      </c>
      <c r="T61" s="15">
        <v>10831.713364768611</v>
      </c>
      <c r="U61">
        <v>17783.517119930948</v>
      </c>
      <c r="V61">
        <v>50623.232317363261</v>
      </c>
      <c r="W61" s="16">
        <v>1937.8940396626522</v>
      </c>
    </row>
    <row r="62" spans="1:23" ht="16" thickBot="1" x14ac:dyDescent="0.25">
      <c r="A62" s="4" t="s">
        <v>38</v>
      </c>
      <c r="B62">
        <v>100</v>
      </c>
      <c r="C62">
        <v>329</v>
      </c>
      <c r="D62">
        <v>286</v>
      </c>
      <c r="E62">
        <v>104</v>
      </c>
      <c r="F62">
        <v>135</v>
      </c>
      <c r="G62">
        <v>100</v>
      </c>
      <c r="H62">
        <v>350</v>
      </c>
      <c r="I62">
        <v>175</v>
      </c>
      <c r="J62">
        <v>113</v>
      </c>
      <c r="K62">
        <v>128</v>
      </c>
      <c r="L62">
        <v>78</v>
      </c>
      <c r="N62" s="17">
        <v>894.98472934008385</v>
      </c>
      <c r="O62" s="18">
        <v>10527.598431649978</v>
      </c>
      <c r="P62" s="18">
        <v>16605.984995120947</v>
      </c>
      <c r="Q62" s="19">
        <v>40899.737634975638</v>
      </c>
      <c r="R62" s="20">
        <v>1937.2805097784162</v>
      </c>
      <c r="S62" s="17">
        <v>902.37400505303333</v>
      </c>
      <c r="T62" s="18">
        <v>10519.282500101324</v>
      </c>
      <c r="U62" s="21">
        <v>17626.398417123353</v>
      </c>
      <c r="V62" s="21">
        <v>52230.532966131832</v>
      </c>
      <c r="W62" s="22">
        <v>1891.641341274159</v>
      </c>
    </row>
    <row r="63" spans="1:23" x14ac:dyDescent="0.2">
      <c r="A63" s="4" t="s">
        <v>39</v>
      </c>
      <c r="B63">
        <v>103</v>
      </c>
      <c r="C63">
        <v>421</v>
      </c>
      <c r="D63">
        <v>280</v>
      </c>
      <c r="E63">
        <v>130</v>
      </c>
      <c r="F63">
        <v>132</v>
      </c>
      <c r="G63">
        <v>106</v>
      </c>
      <c r="H63">
        <v>373</v>
      </c>
      <c r="I63">
        <v>170</v>
      </c>
      <c r="J63">
        <v>101</v>
      </c>
      <c r="K63">
        <v>138</v>
      </c>
      <c r="L63">
        <v>6</v>
      </c>
    </row>
    <row r="64" spans="1:23" x14ac:dyDescent="0.2">
      <c r="A64" s="4" t="s">
        <v>40</v>
      </c>
      <c r="B64">
        <v>112</v>
      </c>
      <c r="C64">
        <v>375</v>
      </c>
      <c r="D64">
        <v>270</v>
      </c>
      <c r="E64">
        <v>105</v>
      </c>
      <c r="F64">
        <v>132</v>
      </c>
      <c r="G64">
        <v>99</v>
      </c>
      <c r="H64">
        <v>384</v>
      </c>
      <c r="I64">
        <v>163</v>
      </c>
      <c r="J64">
        <v>119</v>
      </c>
      <c r="K64">
        <v>137</v>
      </c>
      <c r="L64">
        <v>7</v>
      </c>
    </row>
    <row r="67" spans="1:23" x14ac:dyDescent="0.2">
      <c r="N67" s="28" t="s">
        <v>66</v>
      </c>
      <c r="O67" s="28"/>
      <c r="P67" s="28"/>
      <c r="Q67" s="28"/>
      <c r="R67" t="s">
        <v>67</v>
      </c>
      <c r="S67" s="28" t="s">
        <v>66</v>
      </c>
      <c r="T67" s="28"/>
      <c r="U67" s="28"/>
      <c r="V67" s="28"/>
      <c r="W67" t="s">
        <v>67</v>
      </c>
    </row>
    <row r="68" spans="1:23" x14ac:dyDescent="0.2">
      <c r="N68" s="28" t="s">
        <v>68</v>
      </c>
      <c r="O68" s="28"/>
      <c r="P68" s="28"/>
      <c r="Q68" s="28"/>
      <c r="R68" s="28"/>
      <c r="S68" s="28" t="s">
        <v>69</v>
      </c>
      <c r="T68" s="28"/>
      <c r="U68" s="28"/>
      <c r="V68" s="28"/>
      <c r="W68" s="28"/>
    </row>
    <row r="69" spans="1:23" ht="16" thickBot="1" x14ac:dyDescent="0.25">
      <c r="A69" t="s">
        <v>41</v>
      </c>
      <c r="B69" s="2" t="s">
        <v>58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8">
        <f>N91/N29</f>
        <v>859.19688200850987</v>
      </c>
      <c r="O70" s="6">
        <f t="shared" ref="O70:W70" si="10">O91/O29</f>
        <v>7736.528711565823</v>
      </c>
      <c r="P70" s="6">
        <f t="shared" si="10"/>
        <v>5382.4657738884462</v>
      </c>
      <c r="Q70" s="6">
        <f t="shared" si="10"/>
        <v>1001.600983897246</v>
      </c>
      <c r="R70" s="9">
        <f t="shared" si="10"/>
        <v>1467.8818605212164</v>
      </c>
      <c r="S70" s="8">
        <f t="shared" si="10"/>
        <v>877.03515947178789</v>
      </c>
      <c r="T70" s="6">
        <f t="shared" si="10"/>
        <v>7651.9681862912303</v>
      </c>
      <c r="U70" s="6">
        <f t="shared" si="10"/>
        <v>1908.8319734450149</v>
      </c>
      <c r="V70" s="6">
        <f t="shared" si="10"/>
        <v>925.70455695614601</v>
      </c>
      <c r="W70" s="9">
        <f t="shared" si="10"/>
        <v>1446.4051583703188</v>
      </c>
    </row>
    <row r="71" spans="1:23" x14ac:dyDescent="0.2">
      <c r="N71" s="10">
        <f t="shared" ref="N71:W74" si="11">N92/N30</f>
        <v>728.54885180074677</v>
      </c>
      <c r="O71">
        <f t="shared" si="11"/>
        <v>9257.2331701837429</v>
      </c>
      <c r="P71">
        <f t="shared" si="11"/>
        <v>6194.1345100075723</v>
      </c>
      <c r="Q71">
        <f t="shared" si="11"/>
        <v>772.90074217079723</v>
      </c>
      <c r="R71" s="23">
        <f t="shared" si="11"/>
        <v>1551.9233111285575</v>
      </c>
      <c r="S71" s="10">
        <f t="shared" si="11"/>
        <v>761.85870136297092</v>
      </c>
      <c r="T71">
        <f t="shared" si="11"/>
        <v>7637.089624475615</v>
      </c>
      <c r="U71">
        <f t="shared" si="11"/>
        <v>2475.6402664472471</v>
      </c>
      <c r="V71">
        <f t="shared" si="11"/>
        <v>969.45433675544109</v>
      </c>
      <c r="W71" s="23">
        <f t="shared" si="11"/>
        <v>1566.4683136759854</v>
      </c>
    </row>
    <row r="72" spans="1:23" x14ac:dyDescent="0.2">
      <c r="N72" s="10">
        <f t="shared" si="11"/>
        <v>665.24475308303715</v>
      </c>
      <c r="O72">
        <f t="shared" si="11"/>
        <v>8518.4295385166115</v>
      </c>
      <c r="P72">
        <f t="shared" si="11"/>
        <v>5810.7430688653913</v>
      </c>
      <c r="Q72">
        <f t="shared" si="11"/>
        <v>815.16094162433342</v>
      </c>
      <c r="R72" s="23">
        <f t="shared" si="11"/>
        <v>1484.9847838856424</v>
      </c>
      <c r="S72" s="10">
        <f t="shared" si="11"/>
        <v>695.79645944296112</v>
      </c>
      <c r="T72">
        <f t="shared" si="11"/>
        <v>7768.9652559378255</v>
      </c>
      <c r="U72">
        <f t="shared" si="11"/>
        <v>2491.3272505706145</v>
      </c>
      <c r="V72">
        <f t="shared" si="11"/>
        <v>908.92498694420033</v>
      </c>
      <c r="W72" s="23">
        <f t="shared" si="11"/>
        <v>1365.3808652449145</v>
      </c>
    </row>
    <row r="73" spans="1:23" x14ac:dyDescent="0.2">
      <c r="N73" s="10">
        <f t="shared" si="11"/>
        <v>760.15583017407926</v>
      </c>
      <c r="O73">
        <f t="shared" si="11"/>
        <v>9878.986795708619</v>
      </c>
      <c r="P73">
        <f t="shared" si="11"/>
        <v>5654.6377365795433</v>
      </c>
      <c r="Q73">
        <f t="shared" si="11"/>
        <v>2102.5270396186638</v>
      </c>
      <c r="R73" s="23">
        <f t="shared" si="11"/>
        <v>1508.8346343539135</v>
      </c>
      <c r="S73" s="10">
        <f t="shared" si="11"/>
        <v>760.3872577511778</v>
      </c>
      <c r="T73">
        <f t="shared" si="11"/>
        <v>7458.9278469814608</v>
      </c>
      <c r="U73">
        <f t="shared" si="11"/>
        <v>2335.247520541257</v>
      </c>
      <c r="V73">
        <f t="shared" si="11"/>
        <v>813.15954075898424</v>
      </c>
      <c r="W73" s="23">
        <f t="shared" si="11"/>
        <v>1590.7802380020053</v>
      </c>
    </row>
    <row r="74" spans="1:23" ht="16" thickBot="1" x14ac:dyDescent="0.25">
      <c r="A74" t="s">
        <v>59</v>
      </c>
      <c r="N74" s="17">
        <f t="shared" si="11"/>
        <v>930.30245768689633</v>
      </c>
      <c r="O74" s="18">
        <f t="shared" si="11"/>
        <v>9202.6503530469636</v>
      </c>
      <c r="P74" s="18">
        <f t="shared" si="11"/>
        <v>5239.8417797129559</v>
      </c>
      <c r="Q74" s="18">
        <f t="shared" si="11"/>
        <v>948.26553941924499</v>
      </c>
      <c r="R74" s="22">
        <f t="shared" si="11"/>
        <v>1492.848610654821</v>
      </c>
      <c r="S74" s="17">
        <f t="shared" si="11"/>
        <v>773.73685308820518</v>
      </c>
      <c r="T74" s="18">
        <f t="shared" si="11"/>
        <v>8029.3677816695536</v>
      </c>
      <c r="U74" s="18">
        <f t="shared" si="11"/>
        <v>2193.882284526007</v>
      </c>
      <c r="V74" s="18">
        <f t="shared" si="11"/>
        <v>1051.1517707772537</v>
      </c>
      <c r="W74" s="22">
        <f t="shared" si="11"/>
        <v>1580.3612253157048</v>
      </c>
    </row>
    <row r="75" spans="1:23" ht="16" thickBot="1" x14ac:dyDescent="0.25">
      <c r="A75" t="s">
        <v>22</v>
      </c>
      <c r="E75" t="s">
        <v>44</v>
      </c>
    </row>
    <row r="76" spans="1:23" ht="16" thickBot="1" x14ac:dyDescent="0.25">
      <c r="A76" t="s">
        <v>45</v>
      </c>
      <c r="E76">
        <v>488</v>
      </c>
      <c r="F76" t="s">
        <v>25</v>
      </c>
      <c r="N76" s="24">
        <f t="shared" ref="N76:W76" si="12">AVERAGE(N70:N74)</f>
        <v>788.68975495065388</v>
      </c>
      <c r="O76" s="25">
        <f t="shared" si="12"/>
        <v>8918.7657138043523</v>
      </c>
      <c r="P76" s="25">
        <f t="shared" si="12"/>
        <v>5656.3645738107816</v>
      </c>
      <c r="Q76" s="25">
        <f t="shared" si="12"/>
        <v>1128.0910493460574</v>
      </c>
      <c r="R76" s="26">
        <f t="shared" si="12"/>
        <v>1501.29464010883</v>
      </c>
      <c r="S76" s="24">
        <f t="shared" si="12"/>
        <v>773.76288622342076</v>
      </c>
      <c r="T76" s="25">
        <f t="shared" si="12"/>
        <v>7709.263739071137</v>
      </c>
      <c r="U76" s="25">
        <f t="shared" si="12"/>
        <v>2280.9858591060283</v>
      </c>
      <c r="V76" s="25">
        <f t="shared" si="12"/>
        <v>933.67903843840509</v>
      </c>
      <c r="W76" s="26">
        <f t="shared" si="12"/>
        <v>1509.8791601217858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N78" s="27">
        <f>N76/974</f>
        <v>0.8097430748980019</v>
      </c>
      <c r="O78" s="15">
        <f>O76/10336</f>
        <v>0.86288367974113311</v>
      </c>
      <c r="P78" s="15">
        <f>P76/16798</f>
        <v>0.33672845420947622</v>
      </c>
      <c r="Q78" s="15">
        <f>Q76/40900</f>
        <v>2.7581688248069863E-2</v>
      </c>
      <c r="R78" s="27">
        <f>R76/1809</f>
        <v>0.82990306252561086</v>
      </c>
      <c r="S78">
        <f>S76/895</f>
        <v>0.86453953767979974</v>
      </c>
      <c r="T78" s="15">
        <f>T76/10832</f>
        <v>0.71171194046077702</v>
      </c>
      <c r="U78" s="15">
        <f>U76/17626</f>
        <v>0.12941029496800344</v>
      </c>
      <c r="V78" s="15">
        <f>V76/52231</f>
        <v>1.7875955628619117E-2</v>
      </c>
      <c r="W78">
        <f>W76/1938</f>
        <v>0.77909141389153036</v>
      </c>
    </row>
    <row r="79" spans="1:23" x14ac:dyDescent="0.2">
      <c r="A79" t="s">
        <v>48</v>
      </c>
      <c r="E79">
        <v>20</v>
      </c>
      <c r="F79" t="s">
        <v>25</v>
      </c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</row>
    <row r="84" spans="1:23" x14ac:dyDescent="0.2">
      <c r="A84" t="s">
        <v>28</v>
      </c>
      <c r="E84">
        <v>0</v>
      </c>
      <c r="F84" t="s">
        <v>29</v>
      </c>
    </row>
    <row r="85" spans="1:23" x14ac:dyDescent="0.2">
      <c r="A85" t="s">
        <v>54</v>
      </c>
      <c r="E85">
        <v>20000</v>
      </c>
      <c r="F85" t="s">
        <v>55</v>
      </c>
    </row>
    <row r="86" spans="1:23" x14ac:dyDescent="0.2">
      <c r="A86" t="s">
        <v>30</v>
      </c>
      <c r="E86" t="s">
        <v>31</v>
      </c>
    </row>
    <row r="87" spans="1:23" x14ac:dyDescent="0.2">
      <c r="A87" t="s">
        <v>32</v>
      </c>
      <c r="B87" s="2" t="s">
        <v>60</v>
      </c>
    </row>
    <row r="89" spans="1:23" x14ac:dyDescent="0.2">
      <c r="B89" t="s">
        <v>57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3191</v>
      </c>
      <c r="C91">
        <v>8442</v>
      </c>
      <c r="D91">
        <v>6834</v>
      </c>
      <c r="E91">
        <v>3212</v>
      </c>
      <c r="F91">
        <v>3886</v>
      </c>
      <c r="G91">
        <v>3186</v>
      </c>
      <c r="H91">
        <v>10280</v>
      </c>
      <c r="I91">
        <v>3819</v>
      </c>
      <c r="J91">
        <v>3295</v>
      </c>
      <c r="K91">
        <v>3752</v>
      </c>
      <c r="L91">
        <v>2210</v>
      </c>
      <c r="N91">
        <f>B91-2211</f>
        <v>980</v>
      </c>
      <c r="O91">
        <f t="shared" ref="O91:O95" si="13">C91-2211</f>
        <v>6231</v>
      </c>
      <c r="P91">
        <f t="shared" ref="P91:P95" si="14">D91-2211</f>
        <v>4623</v>
      </c>
      <c r="Q91">
        <f t="shared" ref="Q91:Q95" si="15">E91-2211</f>
        <v>1001</v>
      </c>
      <c r="R91">
        <f t="shared" ref="R91:R95" si="16">F91-2211</f>
        <v>1675</v>
      </c>
      <c r="S91">
        <f t="shared" ref="S91:S95" si="17">G91-2211</f>
        <v>975</v>
      </c>
      <c r="T91">
        <f t="shared" ref="T91:T95" si="18">H91-2211</f>
        <v>8069</v>
      </c>
      <c r="U91">
        <f t="shared" ref="U91:U95" si="19">I91-2211</f>
        <v>1608</v>
      </c>
      <c r="V91">
        <f t="shared" ref="V91:V95" si="20">J91-2211</f>
        <v>1084</v>
      </c>
      <c r="W91">
        <f t="shared" ref="W91:W95" si="21">K91-2211</f>
        <v>1541</v>
      </c>
    </row>
    <row r="92" spans="1:23" x14ac:dyDescent="0.2">
      <c r="A92" s="4" t="s">
        <v>37</v>
      </c>
      <c r="B92">
        <v>2948</v>
      </c>
      <c r="C92">
        <v>12194</v>
      </c>
      <c r="D92">
        <v>8822</v>
      </c>
      <c r="E92">
        <v>2859</v>
      </c>
      <c r="F92">
        <v>3958</v>
      </c>
      <c r="G92">
        <v>2998</v>
      </c>
      <c r="H92">
        <v>9286</v>
      </c>
      <c r="I92">
        <v>5082</v>
      </c>
      <c r="J92">
        <v>3325</v>
      </c>
      <c r="K92">
        <v>3975</v>
      </c>
      <c r="L92">
        <v>2220</v>
      </c>
      <c r="N92">
        <f t="shared" ref="N92:N95" si="22">B92-2211</f>
        <v>737</v>
      </c>
      <c r="O92">
        <f t="shared" si="13"/>
        <v>9983</v>
      </c>
      <c r="P92">
        <f t="shared" si="14"/>
        <v>6611</v>
      </c>
      <c r="Q92">
        <f t="shared" si="15"/>
        <v>648</v>
      </c>
      <c r="R92">
        <f t="shared" si="16"/>
        <v>1747</v>
      </c>
      <c r="S92">
        <f t="shared" si="17"/>
        <v>787</v>
      </c>
      <c r="T92">
        <f t="shared" si="18"/>
        <v>7075</v>
      </c>
      <c r="U92">
        <f t="shared" si="19"/>
        <v>2871</v>
      </c>
      <c r="V92">
        <f t="shared" si="20"/>
        <v>1114</v>
      </c>
      <c r="W92">
        <f t="shared" si="21"/>
        <v>1764</v>
      </c>
    </row>
    <row r="93" spans="1:23" x14ac:dyDescent="0.2">
      <c r="A93" s="4" t="s">
        <v>38</v>
      </c>
      <c r="B93">
        <v>2866</v>
      </c>
      <c r="C93">
        <v>9306</v>
      </c>
      <c r="D93">
        <v>8020</v>
      </c>
      <c r="E93">
        <v>2996</v>
      </c>
      <c r="F93">
        <v>3828</v>
      </c>
      <c r="G93">
        <v>2840</v>
      </c>
      <c r="H93">
        <v>9851</v>
      </c>
      <c r="I93">
        <v>4940</v>
      </c>
      <c r="J93">
        <v>3207</v>
      </c>
      <c r="K93">
        <v>3634</v>
      </c>
      <c r="L93">
        <v>2204</v>
      </c>
      <c r="N93">
        <f t="shared" si="22"/>
        <v>655</v>
      </c>
      <c r="O93">
        <f t="shared" si="13"/>
        <v>7095</v>
      </c>
      <c r="P93">
        <f t="shared" si="14"/>
        <v>5809</v>
      </c>
      <c r="Q93">
        <f t="shared" si="15"/>
        <v>785</v>
      </c>
      <c r="R93">
        <f t="shared" si="16"/>
        <v>1617</v>
      </c>
      <c r="S93">
        <f t="shared" si="17"/>
        <v>629</v>
      </c>
      <c r="T93">
        <f t="shared" si="18"/>
        <v>7640</v>
      </c>
      <c r="U93">
        <f t="shared" si="19"/>
        <v>2729</v>
      </c>
      <c r="V93">
        <f t="shared" si="20"/>
        <v>996</v>
      </c>
      <c r="W93">
        <f t="shared" si="21"/>
        <v>1423</v>
      </c>
    </row>
    <row r="94" spans="1:23" x14ac:dyDescent="0.2">
      <c r="A94" s="4" t="s">
        <v>39</v>
      </c>
      <c r="B94">
        <v>2894</v>
      </c>
      <c r="C94">
        <v>11844</v>
      </c>
      <c r="D94">
        <v>7899</v>
      </c>
      <c r="E94">
        <v>3667</v>
      </c>
      <c r="F94">
        <v>3731</v>
      </c>
      <c r="G94">
        <v>2965</v>
      </c>
      <c r="H94">
        <v>10474</v>
      </c>
      <c r="I94">
        <v>4773</v>
      </c>
      <c r="J94">
        <v>2866</v>
      </c>
      <c r="K94">
        <v>3895</v>
      </c>
      <c r="L94">
        <v>186</v>
      </c>
      <c r="N94">
        <f t="shared" si="22"/>
        <v>683</v>
      </c>
      <c r="O94">
        <f t="shared" si="13"/>
        <v>9633</v>
      </c>
      <c r="P94">
        <f t="shared" si="14"/>
        <v>5688</v>
      </c>
      <c r="Q94">
        <f t="shared" si="15"/>
        <v>1456</v>
      </c>
      <c r="R94">
        <f t="shared" si="16"/>
        <v>1520</v>
      </c>
      <c r="S94">
        <f t="shared" si="17"/>
        <v>754</v>
      </c>
      <c r="T94">
        <f t="shared" si="18"/>
        <v>8263</v>
      </c>
      <c r="U94">
        <f t="shared" si="19"/>
        <v>2562</v>
      </c>
      <c r="V94">
        <f t="shared" si="20"/>
        <v>655</v>
      </c>
      <c r="W94">
        <f t="shared" si="21"/>
        <v>1684</v>
      </c>
    </row>
    <row r="95" spans="1:23" x14ac:dyDescent="0.2">
      <c r="A95" s="4" t="s">
        <v>40</v>
      </c>
      <c r="B95">
        <v>3140</v>
      </c>
      <c r="C95">
        <v>10544</v>
      </c>
      <c r="D95">
        <v>7640</v>
      </c>
      <c r="E95">
        <v>3001</v>
      </c>
      <c r="F95">
        <v>3714</v>
      </c>
      <c r="G95">
        <v>2845</v>
      </c>
      <c r="H95">
        <v>10796</v>
      </c>
      <c r="I95">
        <v>4585</v>
      </c>
      <c r="J95">
        <v>3370</v>
      </c>
      <c r="K95">
        <v>3917</v>
      </c>
      <c r="L95">
        <v>185</v>
      </c>
      <c r="N95">
        <f t="shared" si="22"/>
        <v>929</v>
      </c>
      <c r="O95">
        <f t="shared" si="13"/>
        <v>8333</v>
      </c>
      <c r="P95">
        <f t="shared" si="14"/>
        <v>5429</v>
      </c>
      <c r="Q95">
        <f t="shared" si="15"/>
        <v>790</v>
      </c>
      <c r="R95">
        <f t="shared" si="16"/>
        <v>1503</v>
      </c>
      <c r="S95">
        <f t="shared" si="17"/>
        <v>634</v>
      </c>
      <c r="T95">
        <f t="shared" si="18"/>
        <v>8585</v>
      </c>
      <c r="U95">
        <f t="shared" si="19"/>
        <v>2374</v>
      </c>
      <c r="V95">
        <f t="shared" si="20"/>
        <v>1159</v>
      </c>
      <c r="W95">
        <f t="shared" si="21"/>
        <v>1706</v>
      </c>
    </row>
    <row r="97" spans="1:12" x14ac:dyDescent="0.2">
      <c r="L97">
        <f>AVERAGE(L91:L93)</f>
        <v>2211.3333333333335</v>
      </c>
    </row>
    <row r="100" spans="1:12" x14ac:dyDescent="0.2">
      <c r="A100" t="s">
        <v>41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64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15444</v>
      </c>
      <c r="C122">
        <v>40554</v>
      </c>
      <c r="D122">
        <v>33081</v>
      </c>
      <c r="E122">
        <v>15513</v>
      </c>
      <c r="F122">
        <v>18872</v>
      </c>
      <c r="G122">
        <v>15440</v>
      </c>
      <c r="H122">
        <v>49388</v>
      </c>
      <c r="I122">
        <v>18594</v>
      </c>
      <c r="J122">
        <v>15979</v>
      </c>
      <c r="K122">
        <v>18135</v>
      </c>
      <c r="L122">
        <v>10711</v>
      </c>
    </row>
    <row r="123" spans="1:12" x14ac:dyDescent="0.2">
      <c r="A123" s="4" t="s">
        <v>37</v>
      </c>
      <c r="B123">
        <v>14293</v>
      </c>
      <c r="C123">
        <v>58126</v>
      </c>
      <c r="D123">
        <v>42441</v>
      </c>
      <c r="E123">
        <v>13883</v>
      </c>
      <c r="F123">
        <v>19176</v>
      </c>
      <c r="G123">
        <v>14511</v>
      </c>
      <c r="H123">
        <v>44596</v>
      </c>
      <c r="I123">
        <v>24606</v>
      </c>
      <c r="J123">
        <v>16095</v>
      </c>
      <c r="K123">
        <v>19224</v>
      </c>
      <c r="L123">
        <v>10770</v>
      </c>
    </row>
    <row r="124" spans="1:12" x14ac:dyDescent="0.2">
      <c r="A124" s="4" t="s">
        <v>38</v>
      </c>
      <c r="B124">
        <v>13981</v>
      </c>
      <c r="C124">
        <v>44829</v>
      </c>
      <c r="D124">
        <v>38934</v>
      </c>
      <c r="E124">
        <v>14583</v>
      </c>
      <c r="F124">
        <v>18587</v>
      </c>
      <c r="G124">
        <v>13764</v>
      </c>
      <c r="H124">
        <v>47462</v>
      </c>
      <c r="I124">
        <v>24023</v>
      </c>
      <c r="J124">
        <v>15538</v>
      </c>
      <c r="K124">
        <v>17601</v>
      </c>
      <c r="L124">
        <v>10684</v>
      </c>
    </row>
    <row r="125" spans="1:12" x14ac:dyDescent="0.2">
      <c r="A125" s="4" t="s">
        <v>39</v>
      </c>
      <c r="B125">
        <v>14110</v>
      </c>
      <c r="C125">
        <v>56766</v>
      </c>
      <c r="D125">
        <v>38017</v>
      </c>
      <c r="E125">
        <v>17802</v>
      </c>
      <c r="F125">
        <v>18062</v>
      </c>
      <c r="G125">
        <v>14427</v>
      </c>
      <c r="H125">
        <v>50288</v>
      </c>
      <c r="I125">
        <v>23184</v>
      </c>
      <c r="J125">
        <v>13958</v>
      </c>
      <c r="K125">
        <v>19089</v>
      </c>
      <c r="L125">
        <v>897</v>
      </c>
    </row>
    <row r="126" spans="1:12" x14ac:dyDescent="0.2">
      <c r="A126" s="4" t="s">
        <v>40</v>
      </c>
      <c r="B126">
        <v>15260</v>
      </c>
      <c r="C126">
        <v>50681</v>
      </c>
      <c r="D126">
        <v>36729</v>
      </c>
      <c r="E126">
        <v>14496</v>
      </c>
      <c r="F126">
        <v>18010</v>
      </c>
      <c r="G126">
        <v>13860</v>
      </c>
      <c r="H126">
        <v>51889</v>
      </c>
      <c r="I126">
        <v>22138</v>
      </c>
      <c r="J126">
        <v>16328</v>
      </c>
      <c r="K126">
        <v>18937</v>
      </c>
      <c r="L126">
        <v>893</v>
      </c>
    </row>
    <row r="131" spans="1:2" x14ac:dyDescent="0.2">
      <c r="A131" t="s">
        <v>41</v>
      </c>
      <c r="B131" s="2" t="s">
        <v>65</v>
      </c>
    </row>
  </sheetData>
  <mergeCells count="4">
    <mergeCell ref="N67:Q67"/>
    <mergeCell ref="S67:V67"/>
    <mergeCell ref="N68:R68"/>
    <mergeCell ref="S68:W68"/>
  </mergeCells>
  <conditionalFormatting sqref="N70:R74">
    <cfRule type="colorScale" priority="2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2025-09-16T20:58:15Z</dcterms:created>
  <dcterms:modified xsi:type="dcterms:W3CDTF">2025-10-25T01:15:37Z</dcterms:modified>
</cp:coreProperties>
</file>