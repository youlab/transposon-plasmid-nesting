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ychha/Desktop/Systems Biology/Mine/Plasmid-Transposon/Exp/tetA/Revision/"/>
    </mc:Choice>
  </mc:AlternateContent>
  <xr:revisionPtr revIDLastSave="0" documentId="13_ncr:1_{F8D2AF0F-E80E-3948-AD1B-DAD297F5977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t10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2" l="1"/>
  <c r="O29" i="2"/>
  <c r="P29" i="2"/>
  <c r="Q29" i="2"/>
  <c r="R29" i="2"/>
  <c r="S29" i="2"/>
  <c r="T29" i="2"/>
  <c r="U29" i="2"/>
  <c r="V29" i="2"/>
  <c r="W29" i="2"/>
  <c r="N30" i="2"/>
  <c r="O30" i="2"/>
  <c r="O71" i="2" s="1"/>
  <c r="P30" i="2"/>
  <c r="P71" i="2" s="1"/>
  <c r="Q30" i="2"/>
  <c r="Q71" i="2" s="1"/>
  <c r="R30" i="2"/>
  <c r="R71" i="2" s="1"/>
  <c r="R76" i="2" s="1"/>
  <c r="R78" i="2" s="1"/>
  <c r="S30" i="2"/>
  <c r="S71" i="2" s="1"/>
  <c r="S76" i="2" s="1"/>
  <c r="S78" i="2" s="1"/>
  <c r="T30" i="2"/>
  <c r="U30" i="2"/>
  <c r="V30" i="2"/>
  <c r="W30" i="2"/>
  <c r="N31" i="2"/>
  <c r="O31" i="2"/>
  <c r="P31" i="2"/>
  <c r="Q31" i="2"/>
  <c r="R31" i="2"/>
  <c r="R72" i="2" s="1"/>
  <c r="S31" i="2"/>
  <c r="S72" i="2" s="1"/>
  <c r="T31" i="2"/>
  <c r="T72" i="2" s="1"/>
  <c r="U31" i="2"/>
  <c r="U72" i="2" s="1"/>
  <c r="V31" i="2"/>
  <c r="V72" i="2" s="1"/>
  <c r="W31" i="2"/>
  <c r="W72" i="2" s="1"/>
  <c r="N32" i="2"/>
  <c r="N73" i="2" s="1"/>
  <c r="O32" i="2"/>
  <c r="O73" i="2" s="1"/>
  <c r="P32" i="2"/>
  <c r="Q32" i="2"/>
  <c r="R32" i="2"/>
  <c r="S32" i="2"/>
  <c r="S73" i="2" s="1"/>
  <c r="T32" i="2"/>
  <c r="T73" i="2" s="1"/>
  <c r="U32" i="2"/>
  <c r="U73" i="2" s="1"/>
  <c r="V32" i="2"/>
  <c r="W32" i="2"/>
  <c r="N33" i="2"/>
  <c r="N74" i="2" s="1"/>
  <c r="O33" i="2"/>
  <c r="O74" i="2" s="1"/>
  <c r="P33" i="2"/>
  <c r="P74" i="2" s="1"/>
  <c r="Q33" i="2"/>
  <c r="Q74" i="2" s="1"/>
  <c r="R33" i="2"/>
  <c r="S33" i="2"/>
  <c r="T33" i="2"/>
  <c r="T74" i="2" s="1"/>
  <c r="U33" i="2"/>
  <c r="U74" i="2" s="1"/>
  <c r="V33" i="2"/>
  <c r="W33" i="2"/>
  <c r="N71" i="2"/>
  <c r="W74" i="2"/>
  <c r="V74" i="2"/>
  <c r="S74" i="2"/>
  <c r="R74" i="2"/>
  <c r="W73" i="2"/>
  <c r="V73" i="2"/>
  <c r="R73" i="2"/>
  <c r="Q73" i="2"/>
  <c r="P73" i="2"/>
  <c r="Q72" i="2"/>
  <c r="P72" i="2"/>
  <c r="O72" i="2"/>
  <c r="N72" i="2"/>
  <c r="W71" i="2"/>
  <c r="V71" i="2"/>
  <c r="U71" i="2"/>
  <c r="T71" i="2"/>
  <c r="U70" i="2"/>
  <c r="T70" i="2"/>
  <c r="S70" i="2"/>
  <c r="R70" i="2"/>
  <c r="Q70" i="2"/>
  <c r="P70" i="2"/>
  <c r="O70" i="2"/>
  <c r="N70" i="2"/>
  <c r="W95" i="2"/>
  <c r="V95" i="2"/>
  <c r="U95" i="2"/>
  <c r="T95" i="2"/>
  <c r="S95" i="2"/>
  <c r="R95" i="2"/>
  <c r="Q95" i="2"/>
  <c r="P95" i="2"/>
  <c r="O95" i="2"/>
  <c r="W94" i="2"/>
  <c r="V94" i="2"/>
  <c r="U94" i="2"/>
  <c r="T94" i="2"/>
  <c r="S94" i="2"/>
  <c r="R94" i="2"/>
  <c r="Q94" i="2"/>
  <c r="P94" i="2"/>
  <c r="O94" i="2"/>
  <c r="W93" i="2"/>
  <c r="V93" i="2"/>
  <c r="U93" i="2"/>
  <c r="T93" i="2"/>
  <c r="S93" i="2"/>
  <c r="R93" i="2"/>
  <c r="Q93" i="2"/>
  <c r="P93" i="2"/>
  <c r="O93" i="2"/>
  <c r="W92" i="2"/>
  <c r="V92" i="2"/>
  <c r="U92" i="2"/>
  <c r="T92" i="2"/>
  <c r="S92" i="2"/>
  <c r="R92" i="2"/>
  <c r="Q92" i="2"/>
  <c r="P92" i="2"/>
  <c r="O92" i="2"/>
  <c r="W91" i="2"/>
  <c r="V91" i="2"/>
  <c r="U91" i="2"/>
  <c r="T91" i="2"/>
  <c r="S91" i="2"/>
  <c r="R91" i="2"/>
  <c r="Q91" i="2"/>
  <c r="P91" i="2"/>
  <c r="O91" i="2"/>
  <c r="N95" i="2"/>
  <c r="N94" i="2"/>
  <c r="N93" i="2"/>
  <c r="N92" i="2"/>
  <c r="N91" i="2"/>
  <c r="L97" i="2"/>
  <c r="L35" i="2"/>
  <c r="N76" i="2" l="1"/>
  <c r="N78" i="2" s="1"/>
  <c r="O76" i="2"/>
  <c r="O78" i="2" s="1"/>
  <c r="Q76" i="2"/>
  <c r="Q78" i="2" s="1"/>
  <c r="P76" i="2"/>
  <c r="P78" i="2" s="1"/>
  <c r="T76" i="2"/>
  <c r="T78" i="2" s="1"/>
  <c r="U76" i="2"/>
  <c r="U78" i="2" s="1"/>
  <c r="T84" i="2"/>
  <c r="V70" i="2"/>
  <c r="V76" i="2" s="1"/>
  <c r="W70" i="2"/>
  <c r="W76" i="2" s="1"/>
  <c r="N84" i="2"/>
  <c r="U84" i="2"/>
  <c r="O84" i="2"/>
  <c r="P84" i="2"/>
  <c r="R84" i="2"/>
  <c r="Q84" i="2"/>
  <c r="S84" i="2"/>
  <c r="W78" i="2" l="1"/>
  <c r="W84" i="2"/>
  <c r="V78" i="2"/>
  <c r="V8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<sst xmlns="http://schemas.openxmlformats.org/spreadsheetml/2006/main" count="167" uniqueCount="75">
  <si>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</si>
  <si>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</si>
  <si>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</si>
  <si>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</si>
  <si>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</si>
  <si>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</si>
  <si>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</si>
  <si>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</si>
  <si>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</si>
  <si>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4:19:46 PM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</si>
  <si>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</si>
  <si>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</si>
  <si>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</si>
  <si>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</si>
  <si>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</si>
  <si>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</si>
  <si>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</si>
  <si>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</si>
  <si>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</si>
  <si>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</si>
  <si>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</si>
  <si>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</si>
  <si>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</si>
  <si>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</si>
  <si>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</si>
  <si>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</si>
  <si>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</si>
  <si>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</si>
  <si>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</si>
  <si>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</si>
  <si>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</si>
  <si>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B2-F12</t>
  </si>
  <si>
    <t>Start Time:</t>
  </si>
  <si>
    <t>9/17/2025 4:19:51 PM</t>
  </si>
  <si>
    <t>Temperature: 27 °C</t>
  </si>
  <si>
    <t>&lt;&gt;</t>
  </si>
  <si>
    <t>B</t>
  </si>
  <si>
    <t>C</t>
  </si>
  <si>
    <t>D</t>
  </si>
  <si>
    <t>E</t>
  </si>
  <si>
    <t>F</t>
  </si>
  <si>
    <t>End Time:</t>
  </si>
  <si>
    <t>9/17/2025 4:20:17 PM</t>
  </si>
  <si>
    <t>Label: gfp50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</si>
  <si>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</si>
  <si>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</si>
  <si>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</si>
  <si>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</si>
  <si>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</si>
  <si>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</si>
  <si>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</si>
  <si>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</si>
  <si>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</si>
  <si>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</si>
  <si>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</si>
  <si>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</si>
  <si>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9/17/2025 4:20:21 PM</t>
  </si>
  <si>
    <t>9/17/2025 4:21:09 PM</t>
  </si>
  <si>
    <t>Label: gfp 80</t>
  </si>
  <si>
    <t>9/17/2025 4:21:17 PM</t>
  </si>
  <si>
    <t>9/17/2025 4:22:05 PM</t>
  </si>
  <si>
    <t>Label: gfp100</t>
  </si>
  <si>
    <t>9/17/2025 4:22:12 PM</t>
  </si>
  <si>
    <t>9/17/2025 4:23:01 PM</t>
  </si>
  <si>
    <t>T-TE+</t>
  </si>
  <si>
    <t>T+TE+</t>
  </si>
  <si>
    <t>Kan+</t>
  </si>
  <si>
    <t>Kan-</t>
  </si>
  <si>
    <t>p15A</t>
  </si>
  <si>
    <t>pBR</t>
  </si>
  <si>
    <t>CloDF</t>
  </si>
  <si>
    <t>pUC</t>
  </si>
  <si>
    <t>p15A,++</t>
  </si>
  <si>
    <t>D5</t>
  </si>
  <si>
    <t>D6/D5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</si>
</sst>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 vertic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topLeftCell="D64" workbookViewId="0">
      <selection activeCell="N29" sqref="N29:W33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45917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2</v>
      </c>
      <c r="F15" s="3" t="s">
        <v>20</v>
      </c>
      <c r="G15" s="3"/>
      <c r="H15" s="3"/>
      <c r="I15" s="3"/>
      <c r="J15" s="3"/>
      <c r="K15" s="3"/>
      <c r="L15" s="3"/>
    </row>
    <row r="18" spans="1:23" x14ac:dyDescent="0.2">
      <c r="A18" t="s">
        <v>21</v>
      </c>
    </row>
    <row r="19" spans="1:23" x14ac:dyDescent="0.2">
      <c r="A19" t="s">
        <v>22</v>
      </c>
      <c r="E19" t="s">
        <v>23</v>
      </c>
    </row>
    <row r="20" spans="1:23" x14ac:dyDescent="0.2">
      <c r="A20" t="s">
        <v>24</v>
      </c>
      <c r="E20">
        <v>600</v>
      </c>
      <c r="F20" t="s">
        <v>25</v>
      </c>
    </row>
    <row r="21" spans="1:23" x14ac:dyDescent="0.2">
      <c r="A21" t="s">
        <v>26</v>
      </c>
      <c r="E21">
        <v>9</v>
      </c>
      <c r="F21" t="s">
        <v>25</v>
      </c>
    </row>
    <row r="22" spans="1:23" x14ac:dyDescent="0.2">
      <c r="A22" t="s">
        <v>27</v>
      </c>
      <c r="E22">
        <v>10</v>
      </c>
    </row>
    <row r="23" spans="1:23" x14ac:dyDescent="0.2">
      <c r="A23" t="s">
        <v>28</v>
      </c>
      <c r="E23">
        <v>0</v>
      </c>
      <c r="F23" t="s">
        <v>29</v>
      </c>
    </row>
    <row r="24" spans="1:23" x14ac:dyDescent="0.2">
      <c r="A24" t="s">
        <v>30</v>
      </c>
      <c r="E24" t="s">
        <v>31</v>
      </c>
    </row>
    <row r="25" spans="1:23" x14ac:dyDescent="0.2">
      <c r="A25" t="s">
        <v>32</v>
      </c>
      <c r="B25" s="2" t="s">
        <v>33</v>
      </c>
    </row>
    <row r="27" spans="1:23" x14ac:dyDescent="0.2">
      <c r="B27" t="s">
        <v>34</v>
      </c>
    </row>
    <row r="28" spans="1:23" x14ac:dyDescent="0.2">
      <c r="A28" s="4" t="s">
        <v>35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  <c r="L28" s="4">
        <v>12</v>
      </c>
    </row>
    <row r="29" spans="1:23" x14ac:dyDescent="0.2">
      <c r="A29" s="4" t="s">
        <v>36</v>
      </c>
      <c r="B29">
        <v>1.1791000366210938</v>
      </c>
      <c r="C29">
        <v>1.0602999925613403</v>
      </c>
      <c r="D29">
        <v>1.0015000104904175</v>
      </c>
      <c r="E29">
        <v>0.79079997539520264</v>
      </c>
      <c r="F29">
        <v>0.84149998426437378</v>
      </c>
      <c r="G29">
        <v>1.1382999420166016</v>
      </c>
      <c r="H29">
        <v>0.98879998922348022</v>
      </c>
      <c r="I29">
        <v>1.0586999654769897</v>
      </c>
      <c r="J29">
        <v>0.79659998416900635</v>
      </c>
      <c r="K29">
        <v>1.0235999822616577</v>
      </c>
      <c r="L29">
        <v>4.2700000107288361E-2</v>
      </c>
      <c r="N29">
        <f t="shared" ref="N29:W33" si="0">B29-0.043</f>
        <v>1.1361000366210938</v>
      </c>
      <c r="O29">
        <f t="shared" si="0"/>
        <v>1.0172999925613404</v>
      </c>
      <c r="P29">
        <f t="shared" si="0"/>
        <v>0.95850001049041744</v>
      </c>
      <c r="Q29">
        <f t="shared" si="0"/>
        <v>0.7477999753952026</v>
      </c>
      <c r="R29">
        <f t="shared" si="0"/>
        <v>0.79849998426437374</v>
      </c>
      <c r="S29">
        <f t="shared" si="0"/>
        <v>1.0952999420166016</v>
      </c>
      <c r="T29">
        <f t="shared" si="0"/>
        <v>0.94579998922348019</v>
      </c>
      <c r="U29">
        <f t="shared" si="0"/>
        <v>1.0156999654769898</v>
      </c>
      <c r="V29">
        <f t="shared" si="0"/>
        <v>0.75359998416900631</v>
      </c>
      <c r="W29">
        <f t="shared" si="0"/>
        <v>0.98059998226165768</v>
      </c>
    </row>
    <row r="30" spans="1:23" x14ac:dyDescent="0.2">
      <c r="A30" s="4" t="s">
        <v>37</v>
      </c>
      <c r="B30">
        <v>0.81459999084472656</v>
      </c>
      <c r="C30">
        <v>0.91189998388290405</v>
      </c>
      <c r="D30">
        <v>1.0154999494552612</v>
      </c>
      <c r="E30">
        <v>0.70690000057220459</v>
      </c>
      <c r="F30">
        <v>1.0212999582290649</v>
      </c>
      <c r="G30">
        <v>1.0223000049591064</v>
      </c>
      <c r="H30">
        <v>1.1483999490737915</v>
      </c>
      <c r="I30">
        <v>0.89149999618530273</v>
      </c>
      <c r="J30">
        <v>0.79040002822875977</v>
      </c>
      <c r="K30">
        <v>0.81019997596740723</v>
      </c>
      <c r="L30">
        <v>4.349999874830246E-2</v>
      </c>
      <c r="N30">
        <f t="shared" si="0"/>
        <v>0.77159999084472652</v>
      </c>
      <c r="O30">
        <f t="shared" si="0"/>
        <v>0.86889998388290401</v>
      </c>
      <c r="P30">
        <f t="shared" si="0"/>
        <v>0.97249994945526119</v>
      </c>
      <c r="Q30">
        <f t="shared" si="0"/>
        <v>0.66390000057220455</v>
      </c>
      <c r="R30">
        <f t="shared" si="0"/>
        <v>0.9782999582290649</v>
      </c>
      <c r="S30">
        <f t="shared" si="0"/>
        <v>0.97930000495910641</v>
      </c>
      <c r="T30">
        <f t="shared" si="0"/>
        <v>1.1053999490737916</v>
      </c>
      <c r="U30">
        <f t="shared" si="0"/>
        <v>0.8484999961853027</v>
      </c>
      <c r="V30">
        <f t="shared" si="0"/>
        <v>0.74740002822875973</v>
      </c>
      <c r="W30">
        <f t="shared" si="0"/>
        <v>0.76719997596740719</v>
      </c>
    </row>
    <row r="31" spans="1:23" x14ac:dyDescent="0.2">
      <c r="A31" s="4" t="s">
        <v>38</v>
      </c>
      <c r="B31">
        <v>0.97390002012252808</v>
      </c>
      <c r="C31">
        <v>1.0358999967575073</v>
      </c>
      <c r="D31">
        <v>1.0736000537872314</v>
      </c>
      <c r="E31">
        <v>0.78140002489089966</v>
      </c>
      <c r="F31">
        <v>0.97310000658035278</v>
      </c>
      <c r="G31">
        <v>1.0891000032424927</v>
      </c>
      <c r="H31">
        <v>1.062999963760376</v>
      </c>
      <c r="I31">
        <v>1.0312000513076782</v>
      </c>
      <c r="J31">
        <v>0.88029998540878296</v>
      </c>
      <c r="K31">
        <v>1.0338000059127808</v>
      </c>
      <c r="L31">
        <v>4.3400000780820847E-2</v>
      </c>
      <c r="N31">
        <f t="shared" si="0"/>
        <v>0.93090002012252804</v>
      </c>
      <c r="O31">
        <f t="shared" si="0"/>
        <v>0.99289999675750729</v>
      </c>
      <c r="P31">
        <f t="shared" si="0"/>
        <v>1.0306000537872315</v>
      </c>
      <c r="Q31">
        <f t="shared" si="0"/>
        <v>0.73840002489089962</v>
      </c>
      <c r="R31">
        <f t="shared" si="0"/>
        <v>0.93010000658035275</v>
      </c>
      <c r="S31">
        <f t="shared" si="0"/>
        <v>1.0461000032424927</v>
      </c>
      <c r="T31">
        <f t="shared" si="0"/>
        <v>1.019999963760376</v>
      </c>
      <c r="U31">
        <f t="shared" si="0"/>
        <v>0.98820005130767818</v>
      </c>
      <c r="V31">
        <f t="shared" si="0"/>
        <v>0.83729998540878292</v>
      </c>
      <c r="W31">
        <f t="shared" si="0"/>
        <v>0.99080000591278072</v>
      </c>
    </row>
    <row r="32" spans="1:23" x14ac:dyDescent="0.2">
      <c r="A32" s="4" t="s">
        <v>39</v>
      </c>
      <c r="B32">
        <v>1.0108000040054321</v>
      </c>
      <c r="C32">
        <v>1.0131000280380249</v>
      </c>
      <c r="D32">
        <v>0.91189998388290405</v>
      </c>
      <c r="E32">
        <v>0.88510000705718994</v>
      </c>
      <c r="F32">
        <v>0.99849998950958252</v>
      </c>
      <c r="G32">
        <v>0.97630000114440918</v>
      </c>
      <c r="H32">
        <v>0.99210000038146973</v>
      </c>
      <c r="I32">
        <v>0.92500001192092896</v>
      </c>
      <c r="J32">
        <v>0.87019997835159302</v>
      </c>
      <c r="K32">
        <v>1.0011999607086182</v>
      </c>
      <c r="L32">
        <v>4.4500000774860382E-2</v>
      </c>
      <c r="N32">
        <f t="shared" si="0"/>
        <v>0.96780000400543209</v>
      </c>
      <c r="O32">
        <f t="shared" si="0"/>
        <v>0.97010002803802486</v>
      </c>
      <c r="P32">
        <f t="shared" si="0"/>
        <v>0.86889998388290401</v>
      </c>
      <c r="Q32">
        <f t="shared" si="0"/>
        <v>0.8421000070571899</v>
      </c>
      <c r="R32">
        <f t="shared" si="0"/>
        <v>0.95549998950958248</v>
      </c>
      <c r="S32">
        <f t="shared" si="0"/>
        <v>0.93330000114440914</v>
      </c>
      <c r="T32">
        <f t="shared" si="0"/>
        <v>0.94910000038146969</v>
      </c>
      <c r="U32">
        <f t="shared" si="0"/>
        <v>0.88200001192092892</v>
      </c>
      <c r="V32">
        <f t="shared" si="0"/>
        <v>0.82719997835159298</v>
      </c>
      <c r="W32">
        <f t="shared" si="0"/>
        <v>0.95819996070861813</v>
      </c>
    </row>
    <row r="33" spans="1:23" x14ac:dyDescent="0.2">
      <c r="A33" s="4" t="s">
        <v>40</v>
      </c>
      <c r="B33">
        <v>1.0306999683380127</v>
      </c>
      <c r="C33">
        <v>0.74459999799728394</v>
      </c>
      <c r="D33">
        <v>0.98760002851486206</v>
      </c>
      <c r="E33">
        <v>0.69349998235702515</v>
      </c>
      <c r="F33">
        <v>0.75959998369216919</v>
      </c>
      <c r="G33">
        <v>1.0937999486923218</v>
      </c>
      <c r="H33">
        <v>1.0169999599456787</v>
      </c>
      <c r="I33">
        <v>0.8618999719619751</v>
      </c>
      <c r="J33">
        <v>0.76169997453689575</v>
      </c>
      <c r="K33">
        <v>0.96890002489089966</v>
      </c>
      <c r="L33">
        <v>4.4700000435113907E-2</v>
      </c>
      <c r="N33">
        <f t="shared" si="0"/>
        <v>0.98769996833801266</v>
      </c>
      <c r="O33">
        <f t="shared" si="0"/>
        <v>0.7015999979972839</v>
      </c>
      <c r="P33">
        <f t="shared" si="0"/>
        <v>0.94460002851486202</v>
      </c>
      <c r="Q33">
        <f t="shared" si="0"/>
        <v>0.65049998235702511</v>
      </c>
      <c r="R33">
        <f t="shared" si="0"/>
        <v>0.71659998369216915</v>
      </c>
      <c r="S33">
        <f t="shared" si="0"/>
        <v>1.0507999486923219</v>
      </c>
      <c r="T33">
        <f t="shared" si="0"/>
        <v>0.97399995994567867</v>
      </c>
      <c r="U33">
        <f t="shared" si="0"/>
        <v>0.81889997196197506</v>
      </c>
      <c r="V33">
        <f t="shared" si="0"/>
        <v>0.71869997453689571</v>
      </c>
      <c r="W33">
        <f t="shared" si="0"/>
        <v>0.92590002489089962</v>
      </c>
    </row>
    <row r="35" spans="1:23" x14ac:dyDescent="0.2">
      <c r="L35">
        <f>AVERAGE(L29:L31)</f>
        <v>4.3199999878803887E-2</v>
      </c>
    </row>
    <row r="38" spans="1:23" x14ac:dyDescent="0.2">
      <c r="A38" t="s">
        <v>41</v>
      </c>
      <c r="B38" s="2" t="s">
        <v>42</v>
      </c>
    </row>
    <row r="43" spans="1:23" x14ac:dyDescent="0.2">
      <c r="A43" t="s">
        <v>43</v>
      </c>
    </row>
    <row r="44" spans="1:23" x14ac:dyDescent="0.2">
      <c r="A44" t="s">
        <v>22</v>
      </c>
      <c r="E44" t="s">
        <v>44</v>
      </c>
    </row>
    <row r="45" spans="1:23" x14ac:dyDescent="0.2">
      <c r="A45" t="s">
        <v>45</v>
      </c>
      <c r="E45">
        <v>488</v>
      </c>
      <c r="F45" t="s">
        <v>25</v>
      </c>
    </row>
    <row r="46" spans="1:23" x14ac:dyDescent="0.2">
      <c r="A46" t="s">
        <v>46</v>
      </c>
      <c r="E46">
        <v>520</v>
      </c>
      <c r="F46" t="s">
        <v>25</v>
      </c>
    </row>
    <row r="47" spans="1:23" x14ac:dyDescent="0.2">
      <c r="A47" t="s">
        <v>47</v>
      </c>
      <c r="E47">
        <v>9</v>
      </c>
      <c r="F47" t="s">
        <v>25</v>
      </c>
    </row>
    <row r="48" spans="1:23" x14ac:dyDescent="0.2">
      <c r="A48" t="s">
        <v>48</v>
      </c>
      <c r="E48">
        <v>20</v>
      </c>
      <c r="F48" t="s">
        <v>25</v>
      </c>
    </row>
    <row r="49" spans="1:12" x14ac:dyDescent="0.2">
      <c r="A49" t="s">
        <v>49</v>
      </c>
      <c r="E49">
        <v>50</v>
      </c>
      <c r="F49" t="s">
        <v>50</v>
      </c>
    </row>
    <row r="50" spans="1:12" x14ac:dyDescent="0.2">
      <c r="A50" t="s">
        <v>27</v>
      </c>
      <c r="E50">
        <v>25</v>
      </c>
    </row>
    <row r="51" spans="1:12" x14ac:dyDescent="0.2">
      <c r="A51" t="s">
        <v>51</v>
      </c>
      <c r="E51">
        <v>20</v>
      </c>
      <c r="F51" t="s">
        <v>52</v>
      </c>
    </row>
    <row r="52" spans="1:12" x14ac:dyDescent="0.2">
      <c r="A52" t="s">
        <v>53</v>
      </c>
      <c r="E52">
        <v>0</v>
      </c>
      <c r="F52" t="s">
        <v>52</v>
      </c>
    </row>
    <row r="53" spans="1:12" x14ac:dyDescent="0.2">
      <c r="A53" t="s">
        <v>28</v>
      </c>
      <c r="E53">
        <v>0</v>
      </c>
      <c r="F53" t="s">
        <v>29</v>
      </c>
    </row>
    <row r="54" spans="1:12" x14ac:dyDescent="0.2">
      <c r="A54" t="s">
        <v>54</v>
      </c>
      <c r="E54">
        <v>20000</v>
      </c>
      <c r="F54" t="s">
        <v>55</v>
      </c>
    </row>
    <row r="55" spans="1:12" x14ac:dyDescent="0.2">
      <c r="A55" t="s">
        <v>30</v>
      </c>
      <c r="E55" t="s">
        <v>31</v>
      </c>
    </row>
    <row r="56" spans="1:12" x14ac:dyDescent="0.2">
      <c r="A56" t="s">
        <v>32</v>
      </c>
      <c r="B56" s="2" t="s">
        <v>56</v>
      </c>
    </row>
    <row r="58" spans="1:12" x14ac:dyDescent="0.2">
      <c r="B58" t="s">
        <v>34</v>
      </c>
    </row>
    <row r="59" spans="1:12" x14ac:dyDescent="0.2">
      <c r="A59" s="4" t="s">
        <v>35</v>
      </c>
      <c r="B59" s="4">
        <v>2</v>
      </c>
      <c r="C59" s="4">
        <v>3</v>
      </c>
      <c r="D59" s="4">
        <v>4</v>
      </c>
      <c r="E59" s="4">
        <v>5</v>
      </c>
      <c r="F59" s="4">
        <v>6</v>
      </c>
      <c r="G59" s="4">
        <v>7</v>
      </c>
      <c r="H59" s="4">
        <v>8</v>
      </c>
      <c r="I59" s="4">
        <v>9</v>
      </c>
      <c r="J59" s="4">
        <v>10</v>
      </c>
      <c r="K59" s="4">
        <v>11</v>
      </c>
      <c r="L59" s="4">
        <v>12</v>
      </c>
    </row>
    <row r="60" spans="1:12" x14ac:dyDescent="0.2">
      <c r="A60" s="4" t="s">
        <v>36</v>
      </c>
      <c r="B60">
        <v>105</v>
      </c>
      <c r="C60">
        <v>405</v>
      </c>
      <c r="D60">
        <v>261</v>
      </c>
      <c r="E60">
        <v>108</v>
      </c>
      <c r="F60">
        <v>118</v>
      </c>
      <c r="G60">
        <v>108</v>
      </c>
      <c r="H60">
        <v>392</v>
      </c>
      <c r="I60">
        <v>327</v>
      </c>
      <c r="J60">
        <v>108</v>
      </c>
      <c r="K60">
        <v>144</v>
      </c>
      <c r="L60">
        <v>74</v>
      </c>
    </row>
    <row r="61" spans="1:12" x14ac:dyDescent="0.2">
      <c r="A61" s="4" t="s">
        <v>37</v>
      </c>
      <c r="B61">
        <v>99</v>
      </c>
      <c r="C61">
        <v>341</v>
      </c>
      <c r="D61">
        <v>274</v>
      </c>
      <c r="E61">
        <v>95</v>
      </c>
      <c r="F61">
        <v>146</v>
      </c>
      <c r="G61">
        <v>97</v>
      </c>
      <c r="H61">
        <v>466</v>
      </c>
      <c r="I61">
        <v>256</v>
      </c>
      <c r="J61">
        <v>102</v>
      </c>
      <c r="K61">
        <v>116</v>
      </c>
      <c r="L61">
        <v>77</v>
      </c>
    </row>
    <row r="62" spans="1:12" x14ac:dyDescent="0.2">
      <c r="A62" s="4" t="s">
        <v>38</v>
      </c>
      <c r="B62">
        <v>93</v>
      </c>
      <c r="C62">
        <v>400</v>
      </c>
      <c r="D62">
        <v>279</v>
      </c>
      <c r="E62">
        <v>101</v>
      </c>
      <c r="F62">
        <v>133</v>
      </c>
      <c r="G62">
        <v>105</v>
      </c>
      <c r="H62">
        <v>430</v>
      </c>
      <c r="I62">
        <v>335</v>
      </c>
      <c r="J62">
        <v>112</v>
      </c>
      <c r="K62">
        <v>145</v>
      </c>
      <c r="L62">
        <v>77</v>
      </c>
    </row>
    <row r="63" spans="1:12" x14ac:dyDescent="0.2">
      <c r="A63" s="4" t="s">
        <v>39</v>
      </c>
      <c r="B63">
        <v>103</v>
      </c>
      <c r="C63">
        <v>415</v>
      </c>
      <c r="D63">
        <v>223</v>
      </c>
      <c r="E63">
        <v>268</v>
      </c>
      <c r="F63">
        <v>139</v>
      </c>
      <c r="G63">
        <v>101</v>
      </c>
      <c r="H63">
        <v>406</v>
      </c>
      <c r="I63">
        <v>283</v>
      </c>
      <c r="J63">
        <v>114</v>
      </c>
      <c r="K63">
        <v>144</v>
      </c>
      <c r="L63">
        <v>8</v>
      </c>
    </row>
    <row r="64" spans="1:12" x14ac:dyDescent="0.2">
      <c r="A64" s="4" t="s">
        <v>40</v>
      </c>
      <c r="B64">
        <v>104</v>
      </c>
      <c r="C64">
        <v>244</v>
      </c>
      <c r="D64">
        <v>239</v>
      </c>
      <c r="E64">
        <v>105</v>
      </c>
      <c r="F64">
        <v>116</v>
      </c>
      <c r="G64">
        <v>111</v>
      </c>
      <c r="H64">
        <v>414</v>
      </c>
      <c r="I64">
        <v>247</v>
      </c>
      <c r="J64">
        <v>101</v>
      </c>
      <c r="K64">
        <v>138</v>
      </c>
      <c r="L64">
        <v>7</v>
      </c>
    </row>
    <row r="67" spans="1:23" x14ac:dyDescent="0.2">
      <c r="N67" s="15" t="s">
        <v>64</v>
      </c>
      <c r="O67" s="15"/>
      <c r="P67" s="15"/>
      <c r="Q67" s="15"/>
      <c r="R67" t="s">
        <v>65</v>
      </c>
      <c r="S67" s="15" t="s">
        <v>64</v>
      </c>
      <c r="T67" s="15"/>
      <c r="U67" s="15"/>
      <c r="V67" s="15"/>
      <c r="W67" t="s">
        <v>65</v>
      </c>
    </row>
    <row r="68" spans="1:23" x14ac:dyDescent="0.2">
      <c r="N68" s="15" t="s">
        <v>66</v>
      </c>
      <c r="O68" s="15"/>
      <c r="P68" s="15"/>
      <c r="Q68" s="15"/>
      <c r="R68" s="15"/>
      <c r="S68" s="15" t="s">
        <v>67</v>
      </c>
      <c r="T68" s="15"/>
      <c r="U68" s="15"/>
      <c r="V68" s="15"/>
      <c r="W68" s="15"/>
    </row>
    <row r="69" spans="1:23" ht="16" thickBot="1" x14ac:dyDescent="0.25">
      <c r="A69" t="s">
        <v>41</v>
      </c>
      <c r="B69" s="2" t="s">
        <v>57</v>
      </c>
      <c r="N69" t="s">
        <v>68</v>
      </c>
      <c r="O69" t="s">
        <v>69</v>
      </c>
      <c r="P69" t="s">
        <v>70</v>
      </c>
      <c r="Q69" t="s">
        <v>71</v>
      </c>
      <c r="R69" t="s">
        <v>72</v>
      </c>
      <c r="S69" t="s">
        <v>68</v>
      </c>
      <c r="T69" t="s">
        <v>69</v>
      </c>
      <c r="U69" t="s">
        <v>70</v>
      </c>
      <c r="V69" t="s">
        <v>71</v>
      </c>
      <c r="W69" t="s">
        <v>72</v>
      </c>
    </row>
    <row r="70" spans="1:23" x14ac:dyDescent="0.2">
      <c r="N70" s="5">
        <f>N91/N29</f>
        <v>742.89232707901624</v>
      </c>
      <c r="O70" s="6">
        <f t="shared" ref="O70:W70" si="1">O91/O29</f>
        <v>9363.019826647318</v>
      </c>
      <c r="P70" s="6">
        <f t="shared" si="1"/>
        <v>5600.417257432744</v>
      </c>
      <c r="Q70" s="6">
        <f t="shared" si="1"/>
        <v>1228.9382592107206</v>
      </c>
      <c r="R70" s="7">
        <f t="shared" si="1"/>
        <v>1501.5654647815566</v>
      </c>
      <c r="S70" s="5">
        <f t="shared" si="1"/>
        <v>810.73682736170588</v>
      </c>
      <c r="T70" s="6">
        <f t="shared" si="1"/>
        <v>9670.1206430643342</v>
      </c>
      <c r="U70" s="6">
        <f t="shared" si="1"/>
        <v>7131.0428730777448</v>
      </c>
      <c r="V70" s="6">
        <f t="shared" si="1"/>
        <v>1179.6709377327006</v>
      </c>
      <c r="W70" s="7">
        <f t="shared" si="1"/>
        <v>2001.8356470622537</v>
      </c>
    </row>
    <row r="71" spans="1:23" x14ac:dyDescent="0.2">
      <c r="N71" s="8">
        <f t="shared" ref="N71:W74" si="2">N92/N30</f>
        <v>850.1814512488902</v>
      </c>
      <c r="O71">
        <f t="shared" si="2"/>
        <v>8724.8246525708782</v>
      </c>
      <c r="P71">
        <f t="shared" si="2"/>
        <v>5844.7303808949828</v>
      </c>
      <c r="Q71">
        <f t="shared" si="2"/>
        <v>885.67555278387169</v>
      </c>
      <c r="R71" s="9">
        <f t="shared" si="2"/>
        <v>2043.3405758481515</v>
      </c>
      <c r="S71" s="8">
        <f t="shared" si="2"/>
        <v>606.55569998164583</v>
      </c>
      <c r="T71">
        <f t="shared" si="2"/>
        <v>10085.037555267527</v>
      </c>
      <c r="U71">
        <f t="shared" si="2"/>
        <v>6065.9988487212131</v>
      </c>
      <c r="V71">
        <f t="shared" si="2"/>
        <v>979.39519982992806</v>
      </c>
      <c r="W71" s="9">
        <f t="shared" si="2"/>
        <v>1517.2054698414772</v>
      </c>
    </row>
    <row r="72" spans="1:23" x14ac:dyDescent="0.2">
      <c r="N72" s="8">
        <f t="shared" si="2"/>
        <v>499.51658604411159</v>
      </c>
      <c r="O72">
        <f t="shared" si="2"/>
        <v>9326.2161650117723</v>
      </c>
      <c r="P72">
        <f t="shared" si="2"/>
        <v>5605.4722477170253</v>
      </c>
      <c r="Q72">
        <f t="shared" si="2"/>
        <v>947.99563434931724</v>
      </c>
      <c r="R72" s="9">
        <f t="shared" si="2"/>
        <v>1762.1760976284911</v>
      </c>
      <c r="S72" s="8">
        <f t="shared" si="2"/>
        <v>801.07064085893728</v>
      </c>
      <c r="T72">
        <f t="shared" si="2"/>
        <v>9850.9807421527821</v>
      </c>
      <c r="U72">
        <f t="shared" si="2"/>
        <v>7440.8010708659922</v>
      </c>
      <c r="V72">
        <f t="shared" si="2"/>
        <v>1227.7559033971729</v>
      </c>
      <c r="W72" s="9">
        <f t="shared" si="2"/>
        <v>1974.1622813153122</v>
      </c>
    </row>
    <row r="73" spans="1:23" x14ac:dyDescent="0.2">
      <c r="N73" s="8">
        <f t="shared" si="2"/>
        <v>796.65219757084492</v>
      </c>
      <c r="O73">
        <f t="shared" si="2"/>
        <v>9931.9654896683896</v>
      </c>
      <c r="P73">
        <f t="shared" si="2"/>
        <v>4854.4137164680078</v>
      </c>
      <c r="Q73">
        <f t="shared" si="2"/>
        <v>6467.1653655860182</v>
      </c>
      <c r="R73" s="9">
        <f t="shared" si="2"/>
        <v>1867.0853161554207</v>
      </c>
      <c r="S73" s="8">
        <f t="shared" si="2"/>
        <v>746.81238524090975</v>
      </c>
      <c r="T73">
        <f t="shared" si="2"/>
        <v>9854.599089917574</v>
      </c>
      <c r="U73">
        <f t="shared" si="2"/>
        <v>6668.9341502268817</v>
      </c>
      <c r="V73">
        <f t="shared" si="2"/>
        <v>1316.4893961555831</v>
      </c>
      <c r="W73" s="9">
        <f t="shared" si="2"/>
        <v>1992.2772680852922</v>
      </c>
    </row>
    <row r="74" spans="1:23" ht="16" thickBot="1" x14ac:dyDescent="0.25">
      <c r="A74" t="s">
        <v>58</v>
      </c>
      <c r="N74" s="10">
        <f t="shared" si="2"/>
        <v>823.12445688139735</v>
      </c>
      <c r="O74" s="11">
        <f t="shared" si="2"/>
        <v>6891.3911257147947</v>
      </c>
      <c r="P74" s="11">
        <f t="shared" si="2"/>
        <v>4919.5425150539104</v>
      </c>
      <c r="Q74" s="11">
        <f t="shared" si="2"/>
        <v>1194.4658279384021</v>
      </c>
      <c r="R74" s="12">
        <f t="shared" si="2"/>
        <v>1576.890909455303</v>
      </c>
      <c r="S74" s="10">
        <f t="shared" si="2"/>
        <v>934.52612100148974</v>
      </c>
      <c r="T74" s="11">
        <f t="shared" si="2"/>
        <v>9857.2899330873297</v>
      </c>
      <c r="U74" s="11">
        <f t="shared" si="2"/>
        <v>5971.4252868811473</v>
      </c>
      <c r="V74" s="11">
        <f t="shared" si="2"/>
        <v>973.98083317180397</v>
      </c>
      <c r="W74" s="12">
        <f t="shared" si="2"/>
        <v>1924.6138374496493</v>
      </c>
    </row>
    <row r="75" spans="1:23" x14ac:dyDescent="0.2">
      <c r="A75" t="s">
        <v>22</v>
      </c>
      <c r="E75" t="s">
        <v>44</v>
      </c>
    </row>
    <row r="76" spans="1:23" x14ac:dyDescent="0.2">
      <c r="A76" t="s">
        <v>45</v>
      </c>
      <c r="E76">
        <v>488</v>
      </c>
      <c r="F76" t="s">
        <v>25</v>
      </c>
      <c r="N76">
        <f t="shared" ref="N76:W76" si="3">AVERAGE(N70:N74)</f>
        <v>742.47340376485204</v>
      </c>
      <c r="O76">
        <f t="shared" si="3"/>
        <v>8847.4834519226297</v>
      </c>
      <c r="P76">
        <f t="shared" si="3"/>
        <v>5364.9152235133342</v>
      </c>
      <c r="Q76">
        <f t="shared" si="3"/>
        <v>2144.8481279736661</v>
      </c>
      <c r="R76">
        <f t="shared" si="3"/>
        <v>1750.2116727737844</v>
      </c>
      <c r="S76">
        <f t="shared" si="3"/>
        <v>779.94033488893763</v>
      </c>
      <c r="T76">
        <f t="shared" si="3"/>
        <v>9863.6055926979079</v>
      </c>
      <c r="U76">
        <f t="shared" si="3"/>
        <v>6655.6404459545956</v>
      </c>
      <c r="V76">
        <f t="shared" si="3"/>
        <v>1135.4584540574376</v>
      </c>
      <c r="W76">
        <f t="shared" si="3"/>
        <v>1882.0189007507968</v>
      </c>
    </row>
    <row r="77" spans="1:23" x14ac:dyDescent="0.2">
      <c r="A77" t="s">
        <v>46</v>
      </c>
      <c r="E77">
        <v>520</v>
      </c>
      <c r="F77" t="s">
        <v>25</v>
      </c>
    </row>
    <row r="78" spans="1:23" x14ac:dyDescent="0.2">
      <c r="A78" t="s">
        <v>47</v>
      </c>
      <c r="E78">
        <v>9</v>
      </c>
      <c r="F78" t="s">
        <v>25</v>
      </c>
      <c r="N78" s="13">
        <f>N76/974</f>
        <v>0.76229302234584395</v>
      </c>
      <c r="O78" s="14">
        <f>O76/10336</f>
        <v>0.85598717607610586</v>
      </c>
      <c r="P78" s="14">
        <f>P76/16798</f>
        <v>0.31937821309163794</v>
      </c>
      <c r="Q78" s="14">
        <f>Q76/40900</f>
        <v>5.2441274522583521E-2</v>
      </c>
      <c r="R78" s="13">
        <f>R76/1809</f>
        <v>0.96750230667428649</v>
      </c>
      <c r="S78">
        <f>S76/895</f>
        <v>0.87144171495970679</v>
      </c>
      <c r="T78" s="14">
        <f>T76/10832</f>
        <v>0.91059874378673444</v>
      </c>
      <c r="U78" s="14">
        <f>U76/17626</f>
        <v>0.37760356552562102</v>
      </c>
      <c r="V78" s="14">
        <f>V76/52231</f>
        <v>2.1739167430404122E-2</v>
      </c>
      <c r="W78">
        <f>W76/1938</f>
        <v>0.97111398387554015</v>
      </c>
    </row>
    <row r="79" spans="1:23" x14ac:dyDescent="0.2">
      <c r="A79" t="s">
        <v>48</v>
      </c>
      <c r="E79">
        <v>20</v>
      </c>
      <c r="F79" t="s">
        <v>25</v>
      </c>
    </row>
    <row r="80" spans="1:23" x14ac:dyDescent="0.2">
      <c r="A80" t="s">
        <v>49</v>
      </c>
      <c r="E80">
        <v>80</v>
      </c>
      <c r="F80" t="s">
        <v>50</v>
      </c>
      <c r="O80">
        <v>0.76480811530581838</v>
      </c>
      <c r="P80">
        <v>0.27963033866450804</v>
      </c>
      <c r="Q80">
        <v>2.5762064429055653E-2</v>
      </c>
      <c r="T80">
        <v>0.47405271129345883</v>
      </c>
      <c r="U80">
        <v>0.12721054123881126</v>
      </c>
      <c r="V80">
        <v>1.7987497954172215E-2</v>
      </c>
    </row>
    <row r="81" spans="1:23" x14ac:dyDescent="0.2">
      <c r="A81" t="s">
        <v>27</v>
      </c>
      <c r="E81">
        <v>25</v>
      </c>
    </row>
    <row r="82" spans="1:23" x14ac:dyDescent="0.2">
      <c r="A82" t="s">
        <v>51</v>
      </c>
      <c r="E82">
        <v>20</v>
      </c>
      <c r="F82" t="s">
        <v>52</v>
      </c>
    </row>
    <row r="83" spans="1:23" x14ac:dyDescent="0.2">
      <c r="A83" t="s">
        <v>53</v>
      </c>
      <c r="E83">
        <v>0</v>
      </c>
      <c r="F83" t="s">
        <v>52</v>
      </c>
      <c r="M83" t="s">
        <v>73</v>
      </c>
      <c r="N83">
        <v>714.81260550143907</v>
      </c>
      <c r="O83">
        <v>8657.2097105521261</v>
      </c>
      <c r="P83">
        <v>5517.7338255343739</v>
      </c>
      <c r="Q83">
        <v>1018.9620756169745</v>
      </c>
      <c r="R83">
        <v>1433.8180261282453</v>
      </c>
      <c r="S83">
        <v>688.95452093015979</v>
      </c>
      <c r="T83">
        <v>7608.1893746563246</v>
      </c>
      <c r="U83">
        <v>2228.0223339206577</v>
      </c>
      <c r="V83">
        <v>880.59280703005538</v>
      </c>
      <c r="W83">
        <v>1464.9586991084579</v>
      </c>
    </row>
    <row r="84" spans="1:23" x14ac:dyDescent="0.2">
      <c r="A84" t="s">
        <v>28</v>
      </c>
      <c r="E84">
        <v>0</v>
      </c>
      <c r="F84" t="s">
        <v>29</v>
      </c>
      <c r="M84" t="s">
        <v>74</v>
      </c>
      <c r="N84">
        <f>N76/N83</f>
        <v>1.0386965731305327</v>
      </c>
      <c r="O84" s="13">
        <f t="shared" ref="O84:W84" si="4">O76/O83</f>
        <v>1.0219786452832005</v>
      </c>
      <c r="P84" s="13">
        <f t="shared" si="4"/>
        <v>0.97230410040552484</v>
      </c>
      <c r="Q84" s="13">
        <f t="shared" si="4"/>
        <v>2.1049342063834664</v>
      </c>
      <c r="R84">
        <f t="shared" si="4"/>
        <v>1.2206651338454018</v>
      </c>
      <c r="S84">
        <f t="shared" si="4"/>
        <v>1.1320635995478157</v>
      </c>
      <c r="T84" s="13">
        <f t="shared" si="4"/>
        <v>1.2964458568229926</v>
      </c>
      <c r="U84" s="13">
        <f t="shared" si="4"/>
        <v>2.9872413506029112</v>
      </c>
      <c r="V84" s="13">
        <f>V76/V83</f>
        <v>1.2894250838670358</v>
      </c>
      <c r="W84">
        <f t="shared" si="4"/>
        <v>1.2846907574228219</v>
      </c>
    </row>
    <row r="85" spans="1:23" x14ac:dyDescent="0.2">
      <c r="A85" t="s">
        <v>54</v>
      </c>
      <c r="E85">
        <v>20000</v>
      </c>
      <c r="F85" t="s">
        <v>55</v>
      </c>
    </row>
    <row r="86" spans="1:23" x14ac:dyDescent="0.2">
      <c r="A86" t="s">
        <v>30</v>
      </c>
      <c r="E86" t="s">
        <v>31</v>
      </c>
    </row>
    <row r="87" spans="1:23" x14ac:dyDescent="0.2">
      <c r="A87" t="s">
        <v>32</v>
      </c>
      <c r="B87" s="2" t="s">
        <v>59</v>
      </c>
    </row>
    <row r="89" spans="1:23" x14ac:dyDescent="0.2">
      <c r="B89" t="s">
        <v>34</v>
      </c>
    </row>
    <row r="90" spans="1:23" x14ac:dyDescent="0.2">
      <c r="A90" s="4" t="s">
        <v>35</v>
      </c>
      <c r="B90" s="4">
        <v>2</v>
      </c>
      <c r="C90" s="4">
        <v>3</v>
      </c>
      <c r="D90" s="4">
        <v>4</v>
      </c>
      <c r="E90" s="4">
        <v>5</v>
      </c>
      <c r="F90" s="4">
        <v>6</v>
      </c>
      <c r="G90" s="4">
        <v>7</v>
      </c>
      <c r="H90" s="4">
        <v>8</v>
      </c>
      <c r="I90" s="4">
        <v>9</v>
      </c>
      <c r="J90" s="4">
        <v>10</v>
      </c>
      <c r="K90" s="4">
        <v>11</v>
      </c>
      <c r="L90" s="4">
        <v>12</v>
      </c>
    </row>
    <row r="91" spans="1:23" x14ac:dyDescent="0.2">
      <c r="A91" s="4" t="s">
        <v>36</v>
      </c>
      <c r="B91">
        <v>3016</v>
      </c>
      <c r="C91">
        <v>11697</v>
      </c>
      <c r="D91">
        <v>7540</v>
      </c>
      <c r="E91">
        <v>3091</v>
      </c>
      <c r="F91">
        <v>3371</v>
      </c>
      <c r="G91">
        <v>3060</v>
      </c>
      <c r="H91">
        <v>11318</v>
      </c>
      <c r="I91">
        <v>9415</v>
      </c>
      <c r="J91">
        <v>3061</v>
      </c>
      <c r="K91">
        <v>4135</v>
      </c>
      <c r="L91">
        <v>2150</v>
      </c>
      <c r="N91">
        <f t="shared" ref="N91:W95" si="5">B91-2172</f>
        <v>844</v>
      </c>
      <c r="O91">
        <f t="shared" si="5"/>
        <v>9525</v>
      </c>
      <c r="P91">
        <f t="shared" si="5"/>
        <v>5368</v>
      </c>
      <c r="Q91">
        <f t="shared" si="5"/>
        <v>919</v>
      </c>
      <c r="R91">
        <f t="shared" si="5"/>
        <v>1199</v>
      </c>
      <c r="S91">
        <f t="shared" si="5"/>
        <v>888</v>
      </c>
      <c r="T91">
        <f t="shared" si="5"/>
        <v>9146</v>
      </c>
      <c r="U91">
        <f t="shared" si="5"/>
        <v>7243</v>
      </c>
      <c r="V91">
        <f t="shared" si="5"/>
        <v>889</v>
      </c>
      <c r="W91">
        <f t="shared" si="5"/>
        <v>1963</v>
      </c>
    </row>
    <row r="92" spans="1:23" x14ac:dyDescent="0.2">
      <c r="A92" s="4" t="s">
        <v>37</v>
      </c>
      <c r="B92">
        <v>2828</v>
      </c>
      <c r="C92">
        <v>9753</v>
      </c>
      <c r="D92">
        <v>7856</v>
      </c>
      <c r="E92">
        <v>2760</v>
      </c>
      <c r="F92">
        <v>4171</v>
      </c>
      <c r="G92">
        <v>2766</v>
      </c>
      <c r="H92">
        <v>13320</v>
      </c>
      <c r="I92">
        <v>7319</v>
      </c>
      <c r="J92">
        <v>2904</v>
      </c>
      <c r="K92">
        <v>3336</v>
      </c>
      <c r="L92">
        <v>2188</v>
      </c>
      <c r="N92">
        <f t="shared" si="5"/>
        <v>656</v>
      </c>
      <c r="O92">
        <f t="shared" si="5"/>
        <v>7581</v>
      </c>
      <c r="P92">
        <f t="shared" si="5"/>
        <v>5684</v>
      </c>
      <c r="Q92">
        <f t="shared" si="5"/>
        <v>588</v>
      </c>
      <c r="R92">
        <f t="shared" si="5"/>
        <v>1999</v>
      </c>
      <c r="S92">
        <f t="shared" si="5"/>
        <v>594</v>
      </c>
      <c r="T92">
        <f t="shared" si="5"/>
        <v>11148</v>
      </c>
      <c r="U92">
        <f t="shared" si="5"/>
        <v>5147</v>
      </c>
      <c r="V92">
        <f t="shared" si="5"/>
        <v>732</v>
      </c>
      <c r="W92">
        <f t="shared" si="5"/>
        <v>1164</v>
      </c>
    </row>
    <row r="93" spans="1:23" x14ac:dyDescent="0.2">
      <c r="A93" s="4" t="s">
        <v>38</v>
      </c>
      <c r="B93">
        <v>2637</v>
      </c>
      <c r="C93">
        <v>11432</v>
      </c>
      <c r="D93">
        <v>7949</v>
      </c>
      <c r="E93">
        <v>2872</v>
      </c>
      <c r="F93">
        <v>3811</v>
      </c>
      <c r="G93">
        <v>3010</v>
      </c>
      <c r="H93">
        <v>12220</v>
      </c>
      <c r="I93">
        <v>9525</v>
      </c>
      <c r="J93">
        <v>3200</v>
      </c>
      <c r="K93">
        <v>4128</v>
      </c>
      <c r="L93">
        <v>2177</v>
      </c>
      <c r="N93">
        <f t="shared" si="5"/>
        <v>465</v>
      </c>
      <c r="O93">
        <f t="shared" si="5"/>
        <v>9260</v>
      </c>
      <c r="P93">
        <f t="shared" si="5"/>
        <v>5777</v>
      </c>
      <c r="Q93">
        <f t="shared" si="5"/>
        <v>700</v>
      </c>
      <c r="R93">
        <f t="shared" si="5"/>
        <v>1639</v>
      </c>
      <c r="S93">
        <f t="shared" si="5"/>
        <v>838</v>
      </c>
      <c r="T93">
        <f t="shared" si="5"/>
        <v>10048</v>
      </c>
      <c r="U93">
        <f t="shared" si="5"/>
        <v>7353</v>
      </c>
      <c r="V93">
        <f t="shared" si="5"/>
        <v>1028</v>
      </c>
      <c r="W93">
        <f t="shared" si="5"/>
        <v>1956</v>
      </c>
    </row>
    <row r="94" spans="1:23" x14ac:dyDescent="0.2">
      <c r="A94" s="4" t="s">
        <v>39</v>
      </c>
      <c r="B94">
        <v>2943</v>
      </c>
      <c r="C94">
        <v>11807</v>
      </c>
      <c r="D94">
        <v>6390</v>
      </c>
      <c r="E94">
        <v>7618</v>
      </c>
      <c r="F94">
        <v>3956</v>
      </c>
      <c r="G94">
        <v>2869</v>
      </c>
      <c r="H94">
        <v>11525</v>
      </c>
      <c r="I94">
        <v>8054</v>
      </c>
      <c r="J94">
        <v>3261</v>
      </c>
      <c r="K94">
        <v>4081</v>
      </c>
      <c r="L94">
        <v>190</v>
      </c>
      <c r="N94">
        <f t="shared" si="5"/>
        <v>771</v>
      </c>
      <c r="O94">
        <f t="shared" si="5"/>
        <v>9635</v>
      </c>
      <c r="P94">
        <f t="shared" si="5"/>
        <v>4218</v>
      </c>
      <c r="Q94">
        <f t="shared" si="5"/>
        <v>5446</v>
      </c>
      <c r="R94">
        <f t="shared" si="5"/>
        <v>1784</v>
      </c>
      <c r="S94">
        <f t="shared" si="5"/>
        <v>697</v>
      </c>
      <c r="T94">
        <f t="shared" si="5"/>
        <v>9353</v>
      </c>
      <c r="U94">
        <f t="shared" si="5"/>
        <v>5882</v>
      </c>
      <c r="V94">
        <f t="shared" si="5"/>
        <v>1089</v>
      </c>
      <c r="W94">
        <f t="shared" si="5"/>
        <v>1909</v>
      </c>
    </row>
    <row r="95" spans="1:23" x14ac:dyDescent="0.2">
      <c r="A95" s="4" t="s">
        <v>40</v>
      </c>
      <c r="B95">
        <v>2985</v>
      </c>
      <c r="C95">
        <v>7007</v>
      </c>
      <c r="D95">
        <v>6819</v>
      </c>
      <c r="E95">
        <v>2949</v>
      </c>
      <c r="F95">
        <v>3302</v>
      </c>
      <c r="G95">
        <v>3154</v>
      </c>
      <c r="H95">
        <v>11773</v>
      </c>
      <c r="I95">
        <v>7062</v>
      </c>
      <c r="J95">
        <v>2872</v>
      </c>
      <c r="K95">
        <v>3954</v>
      </c>
      <c r="L95">
        <v>193</v>
      </c>
      <c r="N95">
        <f t="shared" si="5"/>
        <v>813</v>
      </c>
      <c r="O95">
        <f t="shared" si="5"/>
        <v>4835</v>
      </c>
      <c r="P95">
        <f t="shared" si="5"/>
        <v>4647</v>
      </c>
      <c r="Q95">
        <f t="shared" si="5"/>
        <v>777</v>
      </c>
      <c r="R95">
        <f t="shared" si="5"/>
        <v>1130</v>
      </c>
      <c r="S95">
        <f t="shared" si="5"/>
        <v>982</v>
      </c>
      <c r="T95">
        <f t="shared" si="5"/>
        <v>9601</v>
      </c>
      <c r="U95">
        <f t="shared" si="5"/>
        <v>4890</v>
      </c>
      <c r="V95">
        <f t="shared" si="5"/>
        <v>700</v>
      </c>
      <c r="W95">
        <f t="shared" si="5"/>
        <v>1782</v>
      </c>
    </row>
    <row r="97" spans="1:12" x14ac:dyDescent="0.2">
      <c r="L97">
        <f>AVERAGE(L91:L93)</f>
        <v>2171.6666666666665</v>
      </c>
    </row>
    <row r="100" spans="1:12" x14ac:dyDescent="0.2">
      <c r="A100" t="s">
        <v>41</v>
      </c>
      <c r="B100" s="2" t="s">
        <v>60</v>
      </c>
    </row>
    <row r="105" spans="1:12" x14ac:dyDescent="0.2">
      <c r="A105" t="s">
        <v>61</v>
      </c>
    </row>
    <row r="106" spans="1:12" x14ac:dyDescent="0.2">
      <c r="A106" t="s">
        <v>22</v>
      </c>
      <c r="E106" t="s">
        <v>44</v>
      </c>
    </row>
    <row r="107" spans="1:12" x14ac:dyDescent="0.2">
      <c r="A107" t="s">
        <v>45</v>
      </c>
      <c r="E107">
        <v>488</v>
      </c>
      <c r="F107" t="s">
        <v>25</v>
      </c>
    </row>
    <row r="108" spans="1:12" x14ac:dyDescent="0.2">
      <c r="A108" t="s">
        <v>46</v>
      </c>
      <c r="E108">
        <v>520</v>
      </c>
      <c r="F108" t="s">
        <v>25</v>
      </c>
    </row>
    <row r="109" spans="1:12" x14ac:dyDescent="0.2">
      <c r="A109" t="s">
        <v>47</v>
      </c>
      <c r="E109">
        <v>9</v>
      </c>
      <c r="F109" t="s">
        <v>25</v>
      </c>
    </row>
    <row r="110" spans="1:12" x14ac:dyDescent="0.2">
      <c r="A110" t="s">
        <v>48</v>
      </c>
      <c r="E110">
        <v>20</v>
      </c>
      <c r="F110" t="s">
        <v>25</v>
      </c>
    </row>
    <row r="111" spans="1:12" x14ac:dyDescent="0.2">
      <c r="A111" t="s">
        <v>49</v>
      </c>
      <c r="E111">
        <v>100</v>
      </c>
      <c r="F111" t="s">
        <v>50</v>
      </c>
    </row>
    <row r="112" spans="1:12" x14ac:dyDescent="0.2">
      <c r="A112" t="s">
        <v>27</v>
      </c>
      <c r="E112">
        <v>25</v>
      </c>
    </row>
    <row r="113" spans="1:12" x14ac:dyDescent="0.2">
      <c r="A113" t="s">
        <v>51</v>
      </c>
      <c r="E113">
        <v>20</v>
      </c>
      <c r="F113" t="s">
        <v>52</v>
      </c>
    </row>
    <row r="114" spans="1:12" x14ac:dyDescent="0.2">
      <c r="A114" t="s">
        <v>53</v>
      </c>
      <c r="E114">
        <v>0</v>
      </c>
      <c r="F114" t="s">
        <v>52</v>
      </c>
    </row>
    <row r="115" spans="1:12" x14ac:dyDescent="0.2">
      <c r="A115" t="s">
        <v>28</v>
      </c>
      <c r="E115">
        <v>0</v>
      </c>
      <c r="F115" t="s">
        <v>29</v>
      </c>
    </row>
    <row r="116" spans="1:12" x14ac:dyDescent="0.2">
      <c r="A116" t="s">
        <v>54</v>
      </c>
      <c r="E116">
        <v>20000</v>
      </c>
      <c r="F116" t="s">
        <v>55</v>
      </c>
    </row>
    <row r="117" spans="1:12" x14ac:dyDescent="0.2">
      <c r="A117" t="s">
        <v>30</v>
      </c>
      <c r="E117" t="s">
        <v>31</v>
      </c>
    </row>
    <row r="118" spans="1:12" x14ac:dyDescent="0.2">
      <c r="A118" t="s">
        <v>32</v>
      </c>
      <c r="B118" s="2" t="s">
        <v>62</v>
      </c>
    </row>
    <row r="120" spans="1:12" x14ac:dyDescent="0.2">
      <c r="B120" t="s">
        <v>34</v>
      </c>
    </row>
    <row r="121" spans="1:12" x14ac:dyDescent="0.2">
      <c r="A121" s="4" t="s">
        <v>35</v>
      </c>
      <c r="B121" s="4">
        <v>2</v>
      </c>
      <c r="C121" s="4">
        <v>3</v>
      </c>
      <c r="D121" s="4">
        <v>4</v>
      </c>
      <c r="E121" s="4">
        <v>5</v>
      </c>
      <c r="F121" s="4">
        <v>6</v>
      </c>
      <c r="G121" s="4">
        <v>7</v>
      </c>
      <c r="H121" s="4">
        <v>8</v>
      </c>
      <c r="I121" s="4">
        <v>9</v>
      </c>
      <c r="J121" s="4">
        <v>10</v>
      </c>
      <c r="K121" s="4">
        <v>11</v>
      </c>
      <c r="L121" s="4">
        <v>12</v>
      </c>
    </row>
    <row r="122" spans="1:12" x14ac:dyDescent="0.2">
      <c r="A122" s="4" t="s">
        <v>36</v>
      </c>
      <c r="B122">
        <v>14397</v>
      </c>
      <c r="C122">
        <v>55351</v>
      </c>
      <c r="D122">
        <v>36035</v>
      </c>
      <c r="E122">
        <v>14869</v>
      </c>
      <c r="F122">
        <v>16248</v>
      </c>
      <c r="G122">
        <v>14737</v>
      </c>
      <c r="H122">
        <v>53759</v>
      </c>
      <c r="I122">
        <v>44798</v>
      </c>
      <c r="J122">
        <v>14744</v>
      </c>
      <c r="K122">
        <v>19733</v>
      </c>
      <c r="L122">
        <v>10295</v>
      </c>
    </row>
    <row r="123" spans="1:12" x14ac:dyDescent="0.2">
      <c r="A123" s="4" t="s">
        <v>37</v>
      </c>
      <c r="B123">
        <v>13650</v>
      </c>
      <c r="C123">
        <v>46379</v>
      </c>
      <c r="D123">
        <v>37286</v>
      </c>
      <c r="E123">
        <v>13200</v>
      </c>
      <c r="F123">
        <v>19979</v>
      </c>
      <c r="G123">
        <v>13254</v>
      </c>
      <c r="H123">
        <v>62881</v>
      </c>
      <c r="I123">
        <v>34797</v>
      </c>
      <c r="J123">
        <v>13909</v>
      </c>
      <c r="K123">
        <v>15948</v>
      </c>
      <c r="L123">
        <v>10475</v>
      </c>
    </row>
    <row r="124" spans="1:12" x14ac:dyDescent="0.2">
      <c r="A124" s="4" t="s">
        <v>38</v>
      </c>
      <c r="B124">
        <v>12666</v>
      </c>
      <c r="C124">
        <v>54348</v>
      </c>
      <c r="D124">
        <v>37927</v>
      </c>
      <c r="E124">
        <v>13733</v>
      </c>
      <c r="F124">
        <v>18293</v>
      </c>
      <c r="G124">
        <v>14500</v>
      </c>
      <c r="H124">
        <v>57960</v>
      </c>
      <c r="I124">
        <v>45412</v>
      </c>
      <c r="J124">
        <v>15407</v>
      </c>
      <c r="K124">
        <v>19813</v>
      </c>
      <c r="L124">
        <v>10459</v>
      </c>
    </row>
    <row r="125" spans="1:12" x14ac:dyDescent="0.2">
      <c r="A125" s="4" t="s">
        <v>39</v>
      </c>
      <c r="B125">
        <v>14150</v>
      </c>
      <c r="C125">
        <v>55934</v>
      </c>
      <c r="D125">
        <v>30619</v>
      </c>
      <c r="E125">
        <v>36520</v>
      </c>
      <c r="F125">
        <v>19026</v>
      </c>
      <c r="G125">
        <v>13757</v>
      </c>
      <c r="H125">
        <v>54759</v>
      </c>
      <c r="I125">
        <v>38536</v>
      </c>
      <c r="J125">
        <v>15737</v>
      </c>
      <c r="K125">
        <v>19622</v>
      </c>
      <c r="L125">
        <v>908</v>
      </c>
    </row>
    <row r="126" spans="1:12" x14ac:dyDescent="0.2">
      <c r="A126" s="4" t="s">
        <v>40</v>
      </c>
      <c r="B126">
        <v>14396</v>
      </c>
      <c r="C126">
        <v>33572</v>
      </c>
      <c r="D126">
        <v>32537</v>
      </c>
      <c r="E126">
        <v>14214</v>
      </c>
      <c r="F126">
        <v>15880</v>
      </c>
      <c r="G126">
        <v>15124</v>
      </c>
      <c r="H126">
        <v>55912</v>
      </c>
      <c r="I126">
        <v>33686</v>
      </c>
      <c r="J126">
        <v>13805</v>
      </c>
      <c r="K126">
        <v>18820</v>
      </c>
      <c r="L126">
        <v>905</v>
      </c>
    </row>
    <row r="131" spans="1:2" x14ac:dyDescent="0.2">
      <c r="A131" t="s">
        <v>41</v>
      </c>
      <c r="B131" s="2" t="s">
        <v>63</v>
      </c>
    </row>
  </sheetData>
  <mergeCells count="4">
    <mergeCell ref="N67:Q67"/>
    <mergeCell ref="S67:V67"/>
    <mergeCell ref="N68:R68"/>
    <mergeCell ref="S68:W68"/>
  </mergeCells>
  <conditionalFormatting sqref="N76:Q76">
    <cfRule type="colorScale" priority="10">
      <colorScale>
        <cfvo type="min"/>
        <cfvo type="max"/>
        <color rgb="FFFCFCFF"/>
        <color rgb="FF63BE7B"/>
      </colorScale>
    </cfRule>
  </conditionalFormatting>
  <conditionalFormatting sqref="N83:Q83">
    <cfRule type="colorScale" priority="5">
      <colorScale>
        <cfvo type="min"/>
        <cfvo type="max"/>
        <color rgb="FFFCFCFF"/>
        <color rgb="FF63BE7B"/>
      </colorScale>
    </cfRule>
  </conditionalFormatting>
  <conditionalFormatting sqref="N70:R74">
    <cfRule type="colorScale" priority="12">
      <colorScale>
        <cfvo type="min"/>
        <cfvo type="max"/>
        <color rgb="FFFCFCFF"/>
        <color rgb="FF63BE7B"/>
      </colorScale>
    </cfRule>
  </conditionalFormatting>
  <conditionalFormatting sqref="R76">
    <cfRule type="colorScale" priority="8">
      <colorScale>
        <cfvo type="min"/>
        <cfvo type="max"/>
        <color rgb="FFFCFCFF"/>
        <color rgb="FF63BE7B"/>
      </colorScale>
    </cfRule>
  </conditionalFormatting>
  <conditionalFormatting sqref="R83">
    <cfRule type="colorScale" priority="3">
      <colorScale>
        <cfvo type="min"/>
        <cfvo type="max"/>
        <color rgb="FFFCFCFF"/>
        <color rgb="FF63BE7B"/>
      </colorScale>
    </cfRule>
  </conditionalFormatting>
  <conditionalFormatting sqref="S76">
    <cfRule type="colorScale" priority="9">
      <colorScale>
        <cfvo type="min"/>
        <cfvo type="max"/>
        <color rgb="FFFCFCFF"/>
        <color rgb="FF63BE7B"/>
      </colorScale>
    </cfRule>
  </conditionalFormatting>
  <conditionalFormatting sqref="S83">
    <cfRule type="colorScale" priority="4">
      <colorScale>
        <cfvo type="min"/>
        <cfvo type="max"/>
        <color rgb="FFFCFCFF"/>
        <color rgb="FF63BE7B"/>
      </colorScale>
    </cfRule>
  </conditionalFormatting>
  <conditionalFormatting sqref="S70:W74">
    <cfRule type="colorScale" priority="11">
      <colorScale>
        <cfvo type="min"/>
        <cfvo type="max"/>
        <color rgb="FFFCFCFF"/>
        <color rgb="FF63BE7B"/>
      </colorScale>
    </cfRule>
  </conditionalFormatting>
  <conditionalFormatting sqref="T76:V76">
    <cfRule type="colorScale" priority="6">
      <colorScale>
        <cfvo type="min"/>
        <cfvo type="max"/>
        <color rgb="FFFCFCFF"/>
        <color rgb="FF63BE7B"/>
      </colorScale>
    </cfRule>
  </conditionalFormatting>
  <conditionalFormatting sqref="T83:V83">
    <cfRule type="colorScale" priority="1">
      <colorScale>
        <cfvo type="min"/>
        <cfvo type="max"/>
        <color rgb="FFFCFCFF"/>
        <color rgb="FF63BE7B"/>
      </colorScale>
    </cfRule>
  </conditionalFormatting>
  <conditionalFormatting sqref="W76">
    <cfRule type="colorScale" priority="7">
      <colorScale>
        <cfvo type="min"/>
        <cfvo type="max"/>
        <color rgb="FFFCFCFF"/>
        <color rgb="FF63BE7B"/>
      </colorScale>
    </cfRule>
  </conditionalFormatting>
  <conditionalFormatting sqref="W83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tet10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Yuanchi Ha</cp:lastModifiedBy>
  <dcterms:created xsi:type="dcterms:W3CDTF">2025-09-17T20:19:45Z</dcterms:created>
  <dcterms:modified xsi:type="dcterms:W3CDTF">2025-10-25T01:16:09Z</dcterms:modified>
</cp:coreProperties>
</file>