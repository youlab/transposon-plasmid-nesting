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BF2D467F-EF2F-B348-BCF9-708FBFD6F62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6" i="3" l="1"/>
  <c r="W87" i="3" s="1"/>
  <c r="V76" i="3"/>
  <c r="V78" i="3" s="1"/>
  <c r="W74" i="3"/>
  <c r="V74" i="3"/>
  <c r="U74" i="3"/>
  <c r="T74" i="3"/>
  <c r="S74" i="3"/>
  <c r="R74" i="3"/>
  <c r="Q74" i="3"/>
  <c r="P74" i="3"/>
  <c r="O74" i="3"/>
  <c r="N74" i="3"/>
  <c r="W73" i="3"/>
  <c r="V73" i="3"/>
  <c r="U73" i="3"/>
  <c r="T73" i="3"/>
  <c r="S73" i="3"/>
  <c r="R73" i="3"/>
  <c r="Q73" i="3"/>
  <c r="P73" i="3"/>
  <c r="O73" i="3"/>
  <c r="N73" i="3"/>
  <c r="W72" i="3"/>
  <c r="V72" i="3"/>
  <c r="U72" i="3"/>
  <c r="T72" i="3"/>
  <c r="S72" i="3"/>
  <c r="R72" i="3"/>
  <c r="Q72" i="3"/>
  <c r="P72" i="3"/>
  <c r="O72" i="3"/>
  <c r="N72" i="3"/>
  <c r="W71" i="3"/>
  <c r="V71" i="3"/>
  <c r="U71" i="3"/>
  <c r="T71" i="3"/>
  <c r="S71" i="3"/>
  <c r="R71" i="3"/>
  <c r="R76" i="3" s="1"/>
  <c r="Q71" i="3"/>
  <c r="P71" i="3"/>
  <c r="O71" i="3"/>
  <c r="N71" i="3"/>
  <c r="W70" i="3"/>
  <c r="V70" i="3"/>
  <c r="U70" i="3"/>
  <c r="U76" i="3" s="1"/>
  <c r="T70" i="3"/>
  <c r="T76" i="3" s="1"/>
  <c r="S70" i="3"/>
  <c r="S76" i="3" s="1"/>
  <c r="R70" i="3"/>
  <c r="Q70" i="3"/>
  <c r="Q76" i="3" s="1"/>
  <c r="P70" i="3"/>
  <c r="P76" i="3" s="1"/>
  <c r="O70" i="3"/>
  <c r="O76" i="3" s="1"/>
  <c r="N70" i="3"/>
  <c r="N76" i="3" s="1"/>
  <c r="W95" i="3"/>
  <c r="V95" i="3"/>
  <c r="U95" i="3"/>
  <c r="T95" i="3"/>
  <c r="S95" i="3"/>
  <c r="R95" i="3"/>
  <c r="Q95" i="3"/>
  <c r="P95" i="3"/>
  <c r="O95" i="3"/>
  <c r="W94" i="3"/>
  <c r="V94" i="3"/>
  <c r="U94" i="3"/>
  <c r="T94" i="3"/>
  <c r="S94" i="3"/>
  <c r="R94" i="3"/>
  <c r="Q94" i="3"/>
  <c r="P94" i="3"/>
  <c r="O94" i="3"/>
  <c r="W93" i="3"/>
  <c r="V93" i="3"/>
  <c r="U93" i="3"/>
  <c r="T93" i="3"/>
  <c r="S93" i="3"/>
  <c r="R93" i="3"/>
  <c r="Q93" i="3"/>
  <c r="P93" i="3"/>
  <c r="O93" i="3"/>
  <c r="W92" i="3"/>
  <c r="V92" i="3"/>
  <c r="U92" i="3"/>
  <c r="T92" i="3"/>
  <c r="S92" i="3"/>
  <c r="R92" i="3"/>
  <c r="Q92" i="3"/>
  <c r="P92" i="3"/>
  <c r="O92" i="3"/>
  <c r="W91" i="3"/>
  <c r="V91" i="3"/>
  <c r="U91" i="3"/>
  <c r="T91" i="3"/>
  <c r="S91" i="3"/>
  <c r="R91" i="3"/>
  <c r="Q91" i="3"/>
  <c r="P91" i="3"/>
  <c r="O91" i="3"/>
  <c r="N95" i="3"/>
  <c r="N94" i="3"/>
  <c r="N93" i="3"/>
  <c r="N92" i="3"/>
  <c r="N91" i="3"/>
  <c r="L97" i="3"/>
  <c r="W33" i="3"/>
  <c r="V33" i="3"/>
  <c r="U33" i="3"/>
  <c r="T33" i="3"/>
  <c r="S33" i="3"/>
  <c r="R33" i="3"/>
  <c r="Q33" i="3"/>
  <c r="P33" i="3"/>
  <c r="O33" i="3"/>
  <c r="W32" i="3"/>
  <c r="V32" i="3"/>
  <c r="U32" i="3"/>
  <c r="T32" i="3"/>
  <c r="S32" i="3"/>
  <c r="R32" i="3"/>
  <c r="Q32" i="3"/>
  <c r="P32" i="3"/>
  <c r="O32" i="3"/>
  <c r="W31" i="3"/>
  <c r="V31" i="3"/>
  <c r="U31" i="3"/>
  <c r="T31" i="3"/>
  <c r="S31" i="3"/>
  <c r="R31" i="3"/>
  <c r="Q31" i="3"/>
  <c r="P31" i="3"/>
  <c r="O31" i="3"/>
  <c r="W30" i="3"/>
  <c r="V30" i="3"/>
  <c r="U30" i="3"/>
  <c r="T30" i="3"/>
  <c r="S30" i="3"/>
  <c r="R30" i="3"/>
  <c r="Q30" i="3"/>
  <c r="P30" i="3"/>
  <c r="O30" i="3"/>
  <c r="W29" i="3"/>
  <c r="V29" i="3"/>
  <c r="U29" i="3"/>
  <c r="T29" i="3"/>
  <c r="S29" i="3"/>
  <c r="R29" i="3"/>
  <c r="Q29" i="3"/>
  <c r="P29" i="3"/>
  <c r="O29" i="3"/>
  <c r="N33" i="3"/>
  <c r="N32" i="3"/>
  <c r="N31" i="3"/>
  <c r="N30" i="3"/>
  <c r="N29" i="3"/>
  <c r="L35" i="3"/>
  <c r="U78" i="3" l="1"/>
  <c r="U87" i="3"/>
  <c r="U84" i="3"/>
  <c r="S78" i="3"/>
  <c r="S87" i="3"/>
  <c r="S84" i="3"/>
  <c r="T78" i="3"/>
  <c r="T87" i="3"/>
  <c r="T84" i="3"/>
  <c r="R78" i="3"/>
  <c r="R87" i="3"/>
  <c r="R84" i="3"/>
  <c r="N84" i="3"/>
  <c r="N78" i="3"/>
  <c r="N87" i="3"/>
  <c r="O84" i="3"/>
  <c r="O78" i="3"/>
  <c r="O87" i="3"/>
  <c r="P84" i="3"/>
  <c r="P87" i="3"/>
  <c r="P78" i="3"/>
  <c r="Q84" i="3"/>
  <c r="Q78" i="3"/>
  <c r="Q87" i="3"/>
  <c r="V84" i="3"/>
  <c r="W84" i="3"/>
  <c r="V87" i="3"/>
  <c r="W7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<sst xmlns="http://schemas.openxmlformats.org/spreadsheetml/2006/main" count="170" uniqueCount="79">
  <si>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</si>
  <si>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</si>
  <si>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</si>
  <si>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</si>
  <si>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</si>
  <si>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</si>
  <si>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</si>
  <si>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</si>
  <si>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</si>
  <si>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</si>
  <si>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</si>
  <si>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</si>
  <si>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</si>
  <si>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</si>
  <si>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</si>
  <si>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</si>
  <si>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</si>
  <si>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</si>
  <si>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</si>
  <si>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</si>
  <si>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</si>
  <si>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</si>
  <si>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</si>
  <si>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</si>
  <si>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</si>
  <si>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</si>
  <si>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</si>
  <si>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</si>
  <si>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</si>
  <si>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</si>
  <si>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</si>
  <si>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</si>
  <si>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Temperature: 26.6 °C</t>
  </si>
  <si>
    <t>&lt;&gt;</t>
  </si>
  <si>
    <t>B</t>
  </si>
  <si>
    <t>C</t>
  </si>
  <si>
    <t>D</t>
  </si>
  <si>
    <t>E</t>
  </si>
  <si>
    <t>F</t>
  </si>
  <si>
    <t>End Time:</t>
  </si>
  <si>
    <t>4:35:18 PM</t>
  </si>
  <si>
    <t>9/22/2025 4:35:23 PM</t>
  </si>
  <si>
    <t>9/22/2025 4:35:49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</si>
  <si>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</si>
  <si>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</si>
  <si>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</si>
  <si>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</si>
  <si>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</si>
  <si>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</si>
  <si>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</si>
  <si>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</si>
  <si>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</si>
  <si>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</si>
  <si>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</si>
  <si>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</si>
  <si>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</si>
  <si>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9/22/2025 4:35:54 PM</t>
  </si>
  <si>
    <t>Temperature: 26.7 °C</t>
  </si>
  <si>
    <t>9/22/2025 4:36:42 PM</t>
  </si>
  <si>
    <t>Label: gfp 80</t>
  </si>
  <si>
    <t>9/22/2025 4:36:50 PM</t>
  </si>
  <si>
    <t>9/22/2025 4:37:38 PM</t>
  </si>
  <si>
    <t>Label: gfp100</t>
  </si>
  <si>
    <t>9/22/2025 4:37:45 PM</t>
  </si>
  <si>
    <t>9/22/2025 4:38:34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</si>
  <si>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</si>
  <si>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</si>
  <si>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</si>
  <si>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</si>
  <si>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</si>
  <si>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</si>
  <si>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</si>
  <si>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</si>
  <si>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</si>
  <si>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D5</t>
  </si>
  <si>
    <t>D7</t>
  </si>
  <si>
    <t>D11/D1</t>
  </si>
  <si>
    <t>D11/D5</t>
  </si>
  <si>
    <t>D11/D7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</si>
</sst>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A62" workbookViewId="0">
      <selection activeCell="K86" sqref="K86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45922</v>
      </c>
    </row>
    <row r="6" spans="1:12" x14ac:dyDescent="0.2">
      <c r="A6" t="s">
        <v>8</v>
      </c>
      <c r="B6" s="2" t="s">
        <v>40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>
        <v>5</v>
      </c>
      <c r="F14" s="3" t="s">
        <v>17</v>
      </c>
      <c r="G14" s="3"/>
      <c r="H14" s="3"/>
      <c r="I14" s="3"/>
      <c r="J14" s="3"/>
      <c r="K14" s="3"/>
      <c r="L14" s="3"/>
    </row>
    <row r="15" spans="1:12" x14ac:dyDescent="0.2">
      <c r="A15" s="3" t="s">
        <v>18</v>
      </c>
      <c r="B15" s="3"/>
      <c r="C15" s="3"/>
      <c r="D15" s="3"/>
      <c r="E15" s="3">
        <v>2</v>
      </c>
      <c r="F15" s="3" t="s">
        <v>19</v>
      </c>
      <c r="G15" s="3"/>
      <c r="H15" s="3"/>
      <c r="I15" s="3"/>
      <c r="J15" s="3"/>
      <c r="K15" s="3"/>
      <c r="L15" s="3"/>
    </row>
    <row r="18" spans="1:23" x14ac:dyDescent="0.2">
      <c r="A18" t="s">
        <v>20</v>
      </c>
    </row>
    <row r="19" spans="1:23" x14ac:dyDescent="0.2">
      <c r="A19" t="s">
        <v>21</v>
      </c>
      <c r="E19" t="s">
        <v>22</v>
      </c>
    </row>
    <row r="20" spans="1:23" x14ac:dyDescent="0.2">
      <c r="A20" t="s">
        <v>23</v>
      </c>
      <c r="E20">
        <v>600</v>
      </c>
      <c r="F20" t="s">
        <v>24</v>
      </c>
    </row>
    <row r="21" spans="1:23" x14ac:dyDescent="0.2">
      <c r="A21" t="s">
        <v>25</v>
      </c>
      <c r="E21">
        <v>9</v>
      </c>
      <c r="F21" t="s">
        <v>24</v>
      </c>
    </row>
    <row r="22" spans="1:23" x14ac:dyDescent="0.2">
      <c r="A22" t="s">
        <v>26</v>
      </c>
      <c r="E22">
        <v>10</v>
      </c>
    </row>
    <row r="23" spans="1:23" x14ac:dyDescent="0.2">
      <c r="A23" t="s">
        <v>27</v>
      </c>
      <c r="E23">
        <v>0</v>
      </c>
      <c r="F23" t="s">
        <v>28</v>
      </c>
    </row>
    <row r="24" spans="1:23" x14ac:dyDescent="0.2">
      <c r="A24" t="s">
        <v>29</v>
      </c>
      <c r="E24" t="s">
        <v>30</v>
      </c>
    </row>
    <row r="25" spans="1:23" x14ac:dyDescent="0.2">
      <c r="A25" t="s">
        <v>31</v>
      </c>
      <c r="B25" s="2" t="s">
        <v>41</v>
      </c>
    </row>
    <row r="27" spans="1:23" x14ac:dyDescent="0.2">
      <c r="B27" t="s">
        <v>32</v>
      </c>
    </row>
    <row r="28" spans="1:23" x14ac:dyDescent="0.2">
      <c r="A28" s="4" t="s">
        <v>33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34</v>
      </c>
      <c r="B29">
        <v>1.1347999572753906</v>
      </c>
      <c r="C29">
        <v>1.0238000154495239</v>
      </c>
      <c r="D29">
        <v>0.86110001802444458</v>
      </c>
      <c r="E29">
        <v>0.97619998455047607</v>
      </c>
      <c r="F29">
        <v>1.1761000156402588</v>
      </c>
      <c r="G29">
        <v>1.0888999700546265</v>
      </c>
      <c r="H29">
        <v>1.1176999807357788</v>
      </c>
      <c r="I29">
        <v>1.1584999561309814</v>
      </c>
      <c r="J29">
        <v>1.1425000429153442</v>
      </c>
      <c r="K29">
        <v>1.1173000335693359</v>
      </c>
      <c r="L29">
        <v>5.5799998342990875E-2</v>
      </c>
      <c r="N29">
        <f t="shared" ref="N29:W33" si="0">B29-0.058</f>
        <v>1.0767999572753906</v>
      </c>
      <c r="O29">
        <f t="shared" si="0"/>
        <v>0.96580001544952387</v>
      </c>
      <c r="P29">
        <f t="shared" si="0"/>
        <v>0.80310001802444453</v>
      </c>
      <c r="Q29">
        <f t="shared" si="0"/>
        <v>0.91819998455047602</v>
      </c>
      <c r="R29">
        <f t="shared" si="0"/>
        <v>1.1181000156402587</v>
      </c>
      <c r="S29">
        <f t="shared" si="0"/>
        <v>1.0308999700546264</v>
      </c>
      <c r="T29">
        <f t="shared" si="0"/>
        <v>1.0596999807357788</v>
      </c>
      <c r="U29">
        <f t="shared" si="0"/>
        <v>1.1004999561309814</v>
      </c>
      <c r="V29">
        <f t="shared" si="0"/>
        <v>1.0845000429153442</v>
      </c>
      <c r="W29">
        <f t="shared" si="0"/>
        <v>1.0593000335693359</v>
      </c>
    </row>
    <row r="30" spans="1:23" x14ac:dyDescent="0.2">
      <c r="A30" s="4" t="s">
        <v>35</v>
      </c>
      <c r="B30">
        <v>1.0836000442504883</v>
      </c>
      <c r="C30">
        <v>1.058899998664856</v>
      </c>
      <c r="D30">
        <v>0.92110002040863037</v>
      </c>
      <c r="E30">
        <v>1.0659999847412109</v>
      </c>
      <c r="F30">
        <v>1.1390999555587769</v>
      </c>
      <c r="G30">
        <v>1.1691999435424805</v>
      </c>
      <c r="H30">
        <v>1.1267999410629272</v>
      </c>
      <c r="I30">
        <v>1.0885000228881836</v>
      </c>
      <c r="J30">
        <v>0.92570000886917114</v>
      </c>
      <c r="K30">
        <v>0.93709999322891235</v>
      </c>
      <c r="L30">
        <v>6.3000001013278961E-2</v>
      </c>
      <c r="N30">
        <f t="shared" si="0"/>
        <v>1.0256000442504882</v>
      </c>
      <c r="O30">
        <f t="shared" si="0"/>
        <v>1.0008999986648559</v>
      </c>
      <c r="P30">
        <f t="shared" si="0"/>
        <v>0.86310002040863032</v>
      </c>
      <c r="Q30">
        <f t="shared" si="0"/>
        <v>1.0079999847412109</v>
      </c>
      <c r="R30">
        <f t="shared" si="0"/>
        <v>1.0810999555587768</v>
      </c>
      <c r="S30">
        <f t="shared" si="0"/>
        <v>1.1111999435424804</v>
      </c>
      <c r="T30">
        <f t="shared" si="0"/>
        <v>1.0687999410629272</v>
      </c>
      <c r="U30">
        <f t="shared" si="0"/>
        <v>1.0305000228881835</v>
      </c>
      <c r="V30">
        <f t="shared" si="0"/>
        <v>0.86770000886917109</v>
      </c>
      <c r="W30">
        <f t="shared" si="0"/>
        <v>0.8790999932289123</v>
      </c>
    </row>
    <row r="31" spans="1:23" x14ac:dyDescent="0.2">
      <c r="A31" s="4" t="s">
        <v>36</v>
      </c>
      <c r="B31">
        <v>1.184999942779541</v>
      </c>
      <c r="C31">
        <v>1.0824999809265137</v>
      </c>
      <c r="D31">
        <v>1.0723999738693237</v>
      </c>
      <c r="E31">
        <v>0.97790002822875977</v>
      </c>
      <c r="F31">
        <v>1.1310000419616699</v>
      </c>
      <c r="G31">
        <v>0.88950002193450928</v>
      </c>
      <c r="H31">
        <v>1.0552999973297119</v>
      </c>
      <c r="I31">
        <v>1.1520999670028687</v>
      </c>
      <c r="J31">
        <v>0.94980001449584961</v>
      </c>
      <c r="K31">
        <v>1.0760999917984009</v>
      </c>
      <c r="L31">
        <v>5.5500000715255737E-2</v>
      </c>
      <c r="N31">
        <f t="shared" si="0"/>
        <v>1.126999942779541</v>
      </c>
      <c r="O31">
        <f t="shared" si="0"/>
        <v>1.0244999809265136</v>
      </c>
      <c r="P31">
        <f t="shared" si="0"/>
        <v>1.0143999738693237</v>
      </c>
      <c r="Q31">
        <f t="shared" si="0"/>
        <v>0.91990002822875971</v>
      </c>
      <c r="R31">
        <f t="shared" si="0"/>
        <v>1.0730000419616699</v>
      </c>
      <c r="S31">
        <f t="shared" si="0"/>
        <v>0.83150002193450923</v>
      </c>
      <c r="T31">
        <f t="shared" si="0"/>
        <v>0.99729999732971186</v>
      </c>
      <c r="U31">
        <f t="shared" si="0"/>
        <v>1.0940999670028686</v>
      </c>
      <c r="V31">
        <f t="shared" si="0"/>
        <v>0.89180001449584956</v>
      </c>
      <c r="W31">
        <f t="shared" si="0"/>
        <v>1.0180999917984008</v>
      </c>
    </row>
    <row r="32" spans="1:23" x14ac:dyDescent="0.2">
      <c r="A32" s="4" t="s">
        <v>37</v>
      </c>
      <c r="B32">
        <v>0.7994999885559082</v>
      </c>
      <c r="C32">
        <v>0.98329997062683105</v>
      </c>
      <c r="D32">
        <v>1.0825999975204468</v>
      </c>
      <c r="E32">
        <v>0.85600000619888306</v>
      </c>
      <c r="F32">
        <v>1.0760999917984009</v>
      </c>
      <c r="G32">
        <v>1.0772000551223755</v>
      </c>
      <c r="H32">
        <v>1.1197999715805054</v>
      </c>
      <c r="I32">
        <v>1.1377999782562256</v>
      </c>
      <c r="J32">
        <v>1.0750999450683594</v>
      </c>
      <c r="K32">
        <v>0.87269997596740723</v>
      </c>
      <c r="L32">
        <v>4.4300001114606857E-2</v>
      </c>
      <c r="N32">
        <f t="shared" si="0"/>
        <v>0.74149998855590815</v>
      </c>
      <c r="O32">
        <f t="shared" si="0"/>
        <v>0.925299970626831</v>
      </c>
      <c r="P32">
        <f t="shared" si="0"/>
        <v>1.0245999975204467</v>
      </c>
      <c r="Q32">
        <f t="shared" si="0"/>
        <v>0.79800000619888301</v>
      </c>
      <c r="R32">
        <f t="shared" si="0"/>
        <v>1.0180999917984008</v>
      </c>
      <c r="S32">
        <f t="shared" si="0"/>
        <v>1.0192000551223754</v>
      </c>
      <c r="T32">
        <f t="shared" si="0"/>
        <v>1.0617999715805053</v>
      </c>
      <c r="U32">
        <f t="shared" si="0"/>
        <v>1.0797999782562255</v>
      </c>
      <c r="V32">
        <f t="shared" si="0"/>
        <v>1.0170999450683593</v>
      </c>
      <c r="W32">
        <f t="shared" si="0"/>
        <v>0.81469997596740718</v>
      </c>
    </row>
    <row r="33" spans="1:23" x14ac:dyDescent="0.2">
      <c r="A33" s="4" t="s">
        <v>38</v>
      </c>
      <c r="B33">
        <v>0.99080002307891846</v>
      </c>
      <c r="C33">
        <v>1.0362000465393066</v>
      </c>
      <c r="D33">
        <v>1.1052000522613525</v>
      </c>
      <c r="E33">
        <v>0.75929999351501465</v>
      </c>
      <c r="F33">
        <v>1.011199951171875</v>
      </c>
      <c r="G33">
        <v>1.0029000043869019</v>
      </c>
      <c r="H33">
        <v>1.1276999711990356</v>
      </c>
      <c r="I33">
        <v>1.0463000535964966</v>
      </c>
      <c r="J33">
        <v>1.0212999582290649</v>
      </c>
      <c r="K33">
        <v>1.1223000288009644</v>
      </c>
      <c r="L33">
        <v>4.439999908208847E-2</v>
      </c>
      <c r="N33">
        <f t="shared" si="0"/>
        <v>0.93280002307891841</v>
      </c>
      <c r="O33">
        <f t="shared" si="0"/>
        <v>0.97820004653930659</v>
      </c>
      <c r="P33">
        <f t="shared" si="0"/>
        <v>1.0472000522613525</v>
      </c>
      <c r="Q33">
        <f t="shared" si="0"/>
        <v>0.7012999935150146</v>
      </c>
      <c r="R33">
        <f t="shared" si="0"/>
        <v>0.95319995117187495</v>
      </c>
      <c r="S33">
        <f t="shared" si="0"/>
        <v>0.9449000043869018</v>
      </c>
      <c r="T33">
        <f t="shared" si="0"/>
        <v>1.0696999711990356</v>
      </c>
      <c r="U33">
        <f t="shared" si="0"/>
        <v>0.98830005359649653</v>
      </c>
      <c r="V33">
        <f t="shared" si="0"/>
        <v>0.96329995822906489</v>
      </c>
      <c r="W33">
        <f t="shared" si="0"/>
        <v>1.0643000288009643</v>
      </c>
    </row>
    <row r="35" spans="1:23" x14ac:dyDescent="0.2">
      <c r="L35">
        <f>AVERAGE(L29:L31)</f>
        <v>5.8100000023841858E-2</v>
      </c>
    </row>
    <row r="38" spans="1:23" x14ac:dyDescent="0.2">
      <c r="A38" t="s">
        <v>39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21</v>
      </c>
      <c r="E44" t="s">
        <v>44</v>
      </c>
    </row>
    <row r="45" spans="1:23" x14ac:dyDescent="0.2">
      <c r="A45" t="s">
        <v>45</v>
      </c>
      <c r="E45">
        <v>488</v>
      </c>
      <c r="F45" t="s">
        <v>24</v>
      </c>
    </row>
    <row r="46" spans="1:23" x14ac:dyDescent="0.2">
      <c r="A46" t="s">
        <v>46</v>
      </c>
      <c r="E46">
        <v>520</v>
      </c>
      <c r="F46" t="s">
        <v>24</v>
      </c>
    </row>
    <row r="47" spans="1:23" x14ac:dyDescent="0.2">
      <c r="A47" t="s">
        <v>47</v>
      </c>
      <c r="E47">
        <v>9</v>
      </c>
      <c r="F47" t="s">
        <v>24</v>
      </c>
    </row>
    <row r="48" spans="1:23" x14ac:dyDescent="0.2">
      <c r="A48" t="s">
        <v>48</v>
      </c>
      <c r="E48">
        <v>20</v>
      </c>
      <c r="F48" t="s">
        <v>24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26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27</v>
      </c>
      <c r="E53">
        <v>0</v>
      </c>
      <c r="F53" t="s">
        <v>28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29</v>
      </c>
      <c r="E55" t="s">
        <v>30</v>
      </c>
    </row>
    <row r="56" spans="1:12" x14ac:dyDescent="0.2">
      <c r="A56" t="s">
        <v>31</v>
      </c>
      <c r="B56" s="2" t="s">
        <v>56</v>
      </c>
    </row>
    <row r="58" spans="1:12" x14ac:dyDescent="0.2">
      <c r="B58" t="s">
        <v>57</v>
      </c>
    </row>
    <row r="59" spans="1:12" x14ac:dyDescent="0.2">
      <c r="A59" s="4" t="s">
        <v>33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34</v>
      </c>
      <c r="B60">
        <v>101</v>
      </c>
      <c r="C60">
        <v>394</v>
      </c>
      <c r="D60">
        <v>180</v>
      </c>
      <c r="E60">
        <v>132</v>
      </c>
      <c r="F60">
        <v>129</v>
      </c>
      <c r="G60">
        <v>99</v>
      </c>
      <c r="H60">
        <v>372</v>
      </c>
      <c r="I60">
        <v>197</v>
      </c>
      <c r="J60">
        <v>159</v>
      </c>
      <c r="K60">
        <v>125</v>
      </c>
      <c r="L60">
        <v>69</v>
      </c>
    </row>
    <row r="61" spans="1:12" x14ac:dyDescent="0.2">
      <c r="A61" s="4" t="s">
        <v>35</v>
      </c>
      <c r="B61">
        <v>99</v>
      </c>
      <c r="C61">
        <v>397</v>
      </c>
      <c r="D61">
        <v>217</v>
      </c>
      <c r="E61">
        <v>168</v>
      </c>
      <c r="F61">
        <v>134</v>
      </c>
      <c r="G61">
        <v>108</v>
      </c>
      <c r="H61">
        <v>380</v>
      </c>
      <c r="I61">
        <v>227</v>
      </c>
      <c r="J61">
        <v>131</v>
      </c>
      <c r="K61">
        <v>112</v>
      </c>
      <c r="L61">
        <v>69</v>
      </c>
    </row>
    <row r="62" spans="1:12" x14ac:dyDescent="0.2">
      <c r="A62" s="4" t="s">
        <v>36</v>
      </c>
      <c r="B62">
        <v>100</v>
      </c>
      <c r="C62">
        <v>417</v>
      </c>
      <c r="D62">
        <v>269</v>
      </c>
      <c r="E62">
        <v>143</v>
      </c>
      <c r="F62">
        <v>132</v>
      </c>
      <c r="G62">
        <v>92</v>
      </c>
      <c r="H62">
        <v>339</v>
      </c>
      <c r="I62">
        <v>227</v>
      </c>
      <c r="J62">
        <v>136</v>
      </c>
      <c r="K62">
        <v>119</v>
      </c>
      <c r="L62">
        <v>70</v>
      </c>
    </row>
    <row r="63" spans="1:12" x14ac:dyDescent="0.2">
      <c r="A63" s="4" t="s">
        <v>37</v>
      </c>
      <c r="B63">
        <v>92</v>
      </c>
      <c r="C63">
        <v>378</v>
      </c>
      <c r="D63">
        <v>202</v>
      </c>
      <c r="E63">
        <v>220</v>
      </c>
      <c r="F63">
        <v>129</v>
      </c>
      <c r="G63">
        <v>105</v>
      </c>
      <c r="H63">
        <v>364</v>
      </c>
      <c r="I63">
        <v>228</v>
      </c>
      <c r="J63">
        <v>152</v>
      </c>
      <c r="K63">
        <v>113</v>
      </c>
      <c r="L63">
        <v>7</v>
      </c>
    </row>
    <row r="64" spans="1:12" x14ac:dyDescent="0.2">
      <c r="A64" s="4" t="s">
        <v>38</v>
      </c>
      <c r="B64">
        <v>102</v>
      </c>
      <c r="C64">
        <v>429</v>
      </c>
      <c r="D64">
        <v>212</v>
      </c>
      <c r="E64">
        <v>168</v>
      </c>
      <c r="F64">
        <v>121</v>
      </c>
      <c r="G64">
        <v>99</v>
      </c>
      <c r="H64">
        <v>353</v>
      </c>
      <c r="I64">
        <v>213</v>
      </c>
      <c r="J64">
        <v>204</v>
      </c>
      <c r="K64">
        <v>129</v>
      </c>
      <c r="L64">
        <v>8</v>
      </c>
    </row>
    <row r="67" spans="1:23" x14ac:dyDescent="0.2">
      <c r="N67" s="19" t="s">
        <v>65</v>
      </c>
      <c r="O67" s="19"/>
      <c r="P67" s="19"/>
      <c r="Q67" s="19"/>
      <c r="R67" t="s">
        <v>66</v>
      </c>
      <c r="S67" s="19" t="s">
        <v>65</v>
      </c>
      <c r="T67" s="19"/>
      <c r="U67" s="19"/>
      <c r="V67" s="19"/>
      <c r="W67" t="s">
        <v>66</v>
      </c>
    </row>
    <row r="68" spans="1:23" x14ac:dyDescent="0.2">
      <c r="N68" s="19" t="s">
        <v>67</v>
      </c>
      <c r="O68" s="19"/>
      <c r="P68" s="19"/>
      <c r="Q68" s="19"/>
      <c r="R68" s="19"/>
      <c r="S68" s="19" t="s">
        <v>68</v>
      </c>
      <c r="T68" s="19"/>
      <c r="U68" s="19"/>
      <c r="V68" s="19"/>
      <c r="W68" s="19"/>
    </row>
    <row r="69" spans="1:23" ht="16" thickBot="1" x14ac:dyDescent="0.25">
      <c r="A69" t="s">
        <v>39</v>
      </c>
      <c r="B69" s="2" t="s">
        <v>58</v>
      </c>
      <c r="N69" t="s">
        <v>69</v>
      </c>
      <c r="O69" t="s">
        <v>70</v>
      </c>
      <c r="P69" t="s">
        <v>71</v>
      </c>
      <c r="Q69" t="s">
        <v>72</v>
      </c>
      <c r="R69" t="s">
        <v>73</v>
      </c>
      <c r="S69" t="s">
        <v>69</v>
      </c>
      <c r="T69" t="s">
        <v>70</v>
      </c>
      <c r="U69" t="s">
        <v>71</v>
      </c>
      <c r="V69" t="s">
        <v>72</v>
      </c>
      <c r="W69" t="s">
        <v>73</v>
      </c>
    </row>
    <row r="70" spans="1:23" x14ac:dyDescent="0.2">
      <c r="N70" s="5">
        <f>N91/N29</f>
        <v>814.45025519787248</v>
      </c>
      <c r="O70" s="6">
        <f t="shared" ref="O70:W70" si="1">O91/O29</f>
        <v>9633.4643312979533</v>
      </c>
      <c r="P70" s="6">
        <f t="shared" si="1"/>
        <v>4018.1794640450094</v>
      </c>
      <c r="Q70" s="6">
        <f t="shared" si="1"/>
        <v>1912.437409656118</v>
      </c>
      <c r="R70" s="7">
        <f t="shared" si="1"/>
        <v>1551.7395364729382</v>
      </c>
      <c r="S70" s="5">
        <f t="shared" si="1"/>
        <v>796.39152570398846</v>
      </c>
      <c r="T70" s="6">
        <f t="shared" si="1"/>
        <v>8176.8426512413944</v>
      </c>
      <c r="U70" s="6">
        <f t="shared" si="1"/>
        <v>3313.948337464481</v>
      </c>
      <c r="V70" s="6">
        <f t="shared" si="1"/>
        <v>2377.1322249742298</v>
      </c>
      <c r="W70" s="7">
        <f t="shared" si="1"/>
        <v>1504.7672514735793</v>
      </c>
    </row>
    <row r="71" spans="1:23" x14ac:dyDescent="0.2">
      <c r="N71" s="8">
        <f t="shared" ref="N71:W74" si="2">N92/N30</f>
        <v>808.30729741810399</v>
      </c>
      <c r="O71">
        <f t="shared" si="2"/>
        <v>9311.6195548330033</v>
      </c>
      <c r="P71">
        <f t="shared" si="2"/>
        <v>4902.0969759644477</v>
      </c>
      <c r="Q71">
        <f t="shared" si="2"/>
        <v>2745.0397240932361</v>
      </c>
      <c r="R71" s="9">
        <f t="shared" si="2"/>
        <v>1715.8450432469267</v>
      </c>
      <c r="S71" s="8">
        <f t="shared" si="2"/>
        <v>1007.0194896092715</v>
      </c>
      <c r="T71">
        <f t="shared" si="2"/>
        <v>8235.4046457434906</v>
      </c>
      <c r="U71">
        <f t="shared" si="2"/>
        <v>4366.8121300840394</v>
      </c>
      <c r="V71">
        <f t="shared" si="2"/>
        <v>2022.5884315562027</v>
      </c>
      <c r="W71" s="9">
        <f t="shared" si="2"/>
        <v>1332.0441463080283</v>
      </c>
    </row>
    <row r="72" spans="1:23" x14ac:dyDescent="0.2">
      <c r="N72" s="8">
        <f t="shared" si="2"/>
        <v>779.94680091296709</v>
      </c>
      <c r="O72">
        <f t="shared" si="2"/>
        <v>9555.8810954260298</v>
      </c>
      <c r="P72">
        <f t="shared" si="2"/>
        <v>5539.2351584621065</v>
      </c>
      <c r="Q72">
        <f t="shared" si="2"/>
        <v>2216.5452086418936</v>
      </c>
      <c r="R72" s="9">
        <f t="shared" si="2"/>
        <v>1628.1453230944114</v>
      </c>
      <c r="S72" s="8">
        <f t="shared" si="2"/>
        <v>791.34092921506328</v>
      </c>
      <c r="T72">
        <f t="shared" si="2"/>
        <v>7681.7407204576966</v>
      </c>
      <c r="U72">
        <f t="shared" si="2"/>
        <v>4091.9478429965638</v>
      </c>
      <c r="V72">
        <f t="shared" si="2"/>
        <v>2135.0078145898719</v>
      </c>
      <c r="W72" s="9">
        <f t="shared" si="2"/>
        <v>1418.3282699465278</v>
      </c>
    </row>
    <row r="73" spans="1:23" x14ac:dyDescent="0.2">
      <c r="N73" s="8">
        <f t="shared" si="2"/>
        <v>829.39987793894591</v>
      </c>
      <c r="O73">
        <f t="shared" si="2"/>
        <v>9398.03336869126</v>
      </c>
      <c r="P73">
        <f t="shared" si="2"/>
        <v>3666.7968076244565</v>
      </c>
      <c r="Q73">
        <f t="shared" si="2"/>
        <v>5342.1052216602939</v>
      </c>
      <c r="R73" s="9">
        <f t="shared" si="2"/>
        <v>1644.2392824726369</v>
      </c>
      <c r="S73" s="8">
        <f t="shared" si="2"/>
        <v>985.08628895182858</v>
      </c>
      <c r="T73">
        <f t="shared" si="2"/>
        <v>7825.3910551833296</v>
      </c>
      <c r="U73">
        <f t="shared" si="2"/>
        <v>4146.1382572260563</v>
      </c>
      <c r="V73">
        <f t="shared" si="2"/>
        <v>2287.8774217646842</v>
      </c>
      <c r="W73" s="9">
        <f t="shared" si="2"/>
        <v>1465.5701917533468</v>
      </c>
    </row>
    <row r="74" spans="1:23" ht="16" thickBot="1" x14ac:dyDescent="0.25">
      <c r="A74" t="s">
        <v>59</v>
      </c>
      <c r="N74" s="10">
        <f t="shared" si="2"/>
        <v>945.54028535372311</v>
      </c>
      <c r="O74" s="11">
        <f t="shared" si="2"/>
        <v>10394.601836273194</v>
      </c>
      <c r="P74" s="11">
        <f t="shared" si="2"/>
        <v>3839.7629863720331</v>
      </c>
      <c r="Q74" s="11">
        <f t="shared" si="2"/>
        <v>3961.2149232688166</v>
      </c>
      <c r="R74" s="12">
        <f t="shared" si="2"/>
        <v>1530.633733464095</v>
      </c>
      <c r="S74" s="10">
        <f t="shared" si="2"/>
        <v>876.28320050357888</v>
      </c>
      <c r="T74" s="11">
        <f t="shared" si="2"/>
        <v>7522.6701099935999</v>
      </c>
      <c r="U74" s="11">
        <f t="shared" si="2"/>
        <v>4153.5968606513816</v>
      </c>
      <c r="V74" s="11">
        <f t="shared" si="2"/>
        <v>3975.9162940701149</v>
      </c>
      <c r="W74" s="12">
        <f t="shared" si="2"/>
        <v>1572.8647511979502</v>
      </c>
    </row>
    <row r="75" spans="1:23" x14ac:dyDescent="0.2">
      <c r="A75" t="s">
        <v>21</v>
      </c>
      <c r="E75" t="s">
        <v>44</v>
      </c>
    </row>
    <row r="76" spans="1:23" x14ac:dyDescent="0.2">
      <c r="A76" t="s">
        <v>45</v>
      </c>
      <c r="E76">
        <v>488</v>
      </c>
      <c r="F76" t="s">
        <v>24</v>
      </c>
      <c r="N76">
        <f t="shared" ref="N76:W76" si="3">AVERAGE(N70:N74)</f>
        <v>835.52890336432245</v>
      </c>
      <c r="O76">
        <f t="shared" si="3"/>
        <v>9658.7200373042888</v>
      </c>
      <c r="P76">
        <f t="shared" si="3"/>
        <v>4393.2142784936104</v>
      </c>
      <c r="Q76">
        <f t="shared" si="3"/>
        <v>3235.4684974640718</v>
      </c>
      <c r="R76">
        <f t="shared" si="3"/>
        <v>1614.1205837502016</v>
      </c>
      <c r="S76">
        <f t="shared" si="3"/>
        <v>891.22428679674613</v>
      </c>
      <c r="T76">
        <f t="shared" si="3"/>
        <v>7888.4098365239015</v>
      </c>
      <c r="U76">
        <f t="shared" si="3"/>
        <v>4014.4886856845042</v>
      </c>
      <c r="V76">
        <f t="shared" si="3"/>
        <v>2559.7044373910207</v>
      </c>
      <c r="W76">
        <f t="shared" si="3"/>
        <v>1458.7149221358864</v>
      </c>
    </row>
    <row r="77" spans="1:23" x14ac:dyDescent="0.2">
      <c r="A77" t="s">
        <v>46</v>
      </c>
      <c r="E77">
        <v>520</v>
      </c>
      <c r="F77" t="s">
        <v>24</v>
      </c>
    </row>
    <row r="78" spans="1:23" x14ac:dyDescent="0.2">
      <c r="A78" t="s">
        <v>47</v>
      </c>
      <c r="E78">
        <v>9</v>
      </c>
      <c r="F78" t="s">
        <v>24</v>
      </c>
      <c r="M78" t="s">
        <v>76</v>
      </c>
      <c r="N78" s="13">
        <f>N76/974</f>
        <v>0.85783254965536182</v>
      </c>
      <c r="O78" s="14">
        <f>O76/10336</f>
        <v>0.93447368781968743</v>
      </c>
      <c r="P78" s="14">
        <f>P76/16798</f>
        <v>0.26153198467041378</v>
      </c>
      <c r="Q78" s="14">
        <f>Q76/40900</f>
        <v>7.9106809228950414E-2</v>
      </c>
      <c r="R78" s="13">
        <f>R76/1809</f>
        <v>0.8922722961582098</v>
      </c>
      <c r="S78">
        <f>S76/895</f>
        <v>0.9957813260298839</v>
      </c>
      <c r="T78" s="14">
        <f>T76/10832</f>
        <v>0.72825053882236901</v>
      </c>
      <c r="U78" s="14">
        <f>U76/17626</f>
        <v>0.22775948517443007</v>
      </c>
      <c r="V78" s="14">
        <f>V76/52231</f>
        <v>4.9007379475618326E-2</v>
      </c>
      <c r="W78">
        <f>W76/1938</f>
        <v>0.75269087829509096</v>
      </c>
    </row>
    <row r="79" spans="1:23" x14ac:dyDescent="0.2">
      <c r="A79" t="s">
        <v>48</v>
      </c>
      <c r="E79">
        <v>20</v>
      </c>
      <c r="F79" t="s">
        <v>24</v>
      </c>
      <c r="N79" s="13"/>
      <c r="O79" s="14"/>
      <c r="P79" s="14"/>
      <c r="Q79" s="14"/>
      <c r="R79" s="13"/>
      <c r="T79" s="14"/>
      <c r="U79" s="14"/>
      <c r="V79" s="14"/>
    </row>
    <row r="80" spans="1:23" x14ac:dyDescent="0.2">
      <c r="A80" t="s">
        <v>49</v>
      </c>
      <c r="E80">
        <v>80</v>
      </c>
      <c r="F80" t="s">
        <v>50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26</v>
      </c>
      <c r="E81">
        <v>25</v>
      </c>
    </row>
    <row r="82" spans="1:23" ht="16" thickBot="1" x14ac:dyDescent="0.25">
      <c r="A82" t="s">
        <v>51</v>
      </c>
      <c r="E82">
        <v>20</v>
      </c>
      <c r="F82" t="s">
        <v>52</v>
      </c>
    </row>
    <row r="83" spans="1:23" ht="16" thickBot="1" x14ac:dyDescent="0.25">
      <c r="A83" t="s">
        <v>53</v>
      </c>
      <c r="E83">
        <v>0</v>
      </c>
      <c r="F83" t="s">
        <v>52</v>
      </c>
      <c r="M83" t="s">
        <v>74</v>
      </c>
      <c r="N83" s="15">
        <v>714.81260550143907</v>
      </c>
      <c r="O83" s="16">
        <v>8657.2097105521261</v>
      </c>
      <c r="P83" s="16">
        <v>5517.7338255343739</v>
      </c>
      <c r="Q83" s="16">
        <v>1018.9620756169745</v>
      </c>
      <c r="R83" s="17">
        <v>1433.8180261282453</v>
      </c>
      <c r="S83" s="15">
        <v>688.95452093015979</v>
      </c>
      <c r="T83" s="16">
        <v>7608.1893746563246</v>
      </c>
      <c r="U83" s="16">
        <v>2228.0223339206577</v>
      </c>
      <c r="V83" s="16">
        <v>880.59280703005538</v>
      </c>
      <c r="W83" s="17">
        <v>1464.9586991084579</v>
      </c>
    </row>
    <row r="84" spans="1:23" x14ac:dyDescent="0.2">
      <c r="A84" t="s">
        <v>27</v>
      </c>
      <c r="E84">
        <v>0</v>
      </c>
      <c r="F84" t="s">
        <v>28</v>
      </c>
      <c r="M84" t="s">
        <v>77</v>
      </c>
      <c r="N84">
        <f>N76/N83</f>
        <v>1.168878244359165</v>
      </c>
      <c r="O84" s="13">
        <f t="shared" ref="O84:W84" si="4">O76/O83</f>
        <v>1.1156851179810787</v>
      </c>
      <c r="P84" s="13">
        <f t="shared" si="4"/>
        <v>0.79619902253406405</v>
      </c>
      <c r="Q84" s="13">
        <f>Q76/Q83</f>
        <v>3.1752589962732598</v>
      </c>
      <c r="R84">
        <f t="shared" si="4"/>
        <v>1.1257499587369739</v>
      </c>
      <c r="S84">
        <f t="shared" si="4"/>
        <v>1.2935894311187641</v>
      </c>
      <c r="T84" s="13">
        <f t="shared" si="4"/>
        <v>1.0368314257267335</v>
      </c>
      <c r="U84" s="13">
        <f t="shared" si="4"/>
        <v>1.8018170754241032</v>
      </c>
      <c r="V84" s="13">
        <f>V76/V83</f>
        <v>2.906796895177973</v>
      </c>
      <c r="W84">
        <f t="shared" si="4"/>
        <v>0.99573791604065598</v>
      </c>
    </row>
    <row r="85" spans="1:23" x14ac:dyDescent="0.2">
      <c r="A85" t="s">
        <v>54</v>
      </c>
      <c r="E85">
        <v>20000</v>
      </c>
      <c r="F85" t="s">
        <v>55</v>
      </c>
    </row>
    <row r="86" spans="1:23" ht="16" thickBot="1" x14ac:dyDescent="0.25">
      <c r="A86" t="s">
        <v>29</v>
      </c>
      <c r="E86" t="s">
        <v>30</v>
      </c>
      <c r="M86" t="s">
        <v>75</v>
      </c>
      <c r="N86">
        <v>1332.2986394617906</v>
      </c>
      <c r="O86">
        <v>12151.597751635452</v>
      </c>
      <c r="P86">
        <v>9983.4982568661017</v>
      </c>
      <c r="Q86">
        <v>14005.697216489109</v>
      </c>
      <c r="R86">
        <v>2266.3493807658733</v>
      </c>
      <c r="S86">
        <v>1359.7443166378155</v>
      </c>
      <c r="T86">
        <v>12702.261450492337</v>
      </c>
      <c r="U86">
        <v>11913.199206990072</v>
      </c>
      <c r="V86">
        <v>11945.967625454212</v>
      </c>
      <c r="W86">
        <v>2461.8538792303502</v>
      </c>
    </row>
    <row r="87" spans="1:23" ht="16" thickBot="1" x14ac:dyDescent="0.25">
      <c r="A87" t="s">
        <v>31</v>
      </c>
      <c r="B87" s="2" t="s">
        <v>60</v>
      </c>
      <c r="M87" t="s">
        <v>78</v>
      </c>
      <c r="N87" s="15">
        <f>N76/N86</f>
        <v>0.62713334579539282</v>
      </c>
      <c r="O87" s="16">
        <f t="shared" ref="O87:W87" si="5">O76/O86</f>
        <v>0.79485185690946247</v>
      </c>
      <c r="P87" s="16">
        <f t="shared" si="5"/>
        <v>0.44004758306760849</v>
      </c>
      <c r="Q87" s="16">
        <f t="shared" si="5"/>
        <v>0.23101088417468488</v>
      </c>
      <c r="R87" s="18">
        <f t="shared" si="5"/>
        <v>0.71221171697928487</v>
      </c>
      <c r="S87" s="15">
        <f t="shared" si="5"/>
        <v>0.65543519902362246</v>
      </c>
      <c r="T87" s="16">
        <f t="shared" si="5"/>
        <v>0.62102404892777174</v>
      </c>
      <c r="U87" s="16">
        <f t="shared" si="5"/>
        <v>0.33697822188090354</v>
      </c>
      <c r="V87" s="16">
        <f t="shared" si="5"/>
        <v>0.21427351200390476</v>
      </c>
      <c r="W87" s="18">
        <f t="shared" si="5"/>
        <v>0.59252701163235755</v>
      </c>
    </row>
    <row r="89" spans="1:23" x14ac:dyDescent="0.2">
      <c r="B89" t="s">
        <v>57</v>
      </c>
    </row>
    <row r="90" spans="1:23" x14ac:dyDescent="0.2">
      <c r="A90" s="4" t="s">
        <v>33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34</v>
      </c>
      <c r="B91">
        <v>2849</v>
      </c>
      <c r="C91">
        <v>11276</v>
      </c>
      <c r="D91">
        <v>5199</v>
      </c>
      <c r="E91">
        <v>3728</v>
      </c>
      <c r="F91">
        <v>3707</v>
      </c>
      <c r="G91">
        <v>2793</v>
      </c>
      <c r="H91">
        <v>10637</v>
      </c>
      <c r="I91">
        <v>5619</v>
      </c>
      <c r="J91">
        <v>4550</v>
      </c>
      <c r="K91">
        <v>3566</v>
      </c>
      <c r="L91">
        <v>1976</v>
      </c>
      <c r="N91">
        <f t="shared" ref="N91:W95" si="6">B91-1972</f>
        <v>877</v>
      </c>
      <c r="O91">
        <f t="shared" si="6"/>
        <v>9304</v>
      </c>
      <c r="P91">
        <f t="shared" si="6"/>
        <v>3227</v>
      </c>
      <c r="Q91">
        <f t="shared" si="6"/>
        <v>1756</v>
      </c>
      <c r="R91">
        <f t="shared" si="6"/>
        <v>1735</v>
      </c>
      <c r="S91">
        <f t="shared" si="6"/>
        <v>821</v>
      </c>
      <c r="T91">
        <f t="shared" si="6"/>
        <v>8665</v>
      </c>
      <c r="U91">
        <f t="shared" si="6"/>
        <v>3647</v>
      </c>
      <c r="V91">
        <f t="shared" si="6"/>
        <v>2578</v>
      </c>
      <c r="W91">
        <f t="shared" si="6"/>
        <v>1594</v>
      </c>
    </row>
    <row r="92" spans="1:23" x14ac:dyDescent="0.2">
      <c r="A92" s="4" t="s">
        <v>35</v>
      </c>
      <c r="B92">
        <v>2801</v>
      </c>
      <c r="C92">
        <v>11292</v>
      </c>
      <c r="D92">
        <v>6203</v>
      </c>
      <c r="E92">
        <v>4739</v>
      </c>
      <c r="F92">
        <v>3827</v>
      </c>
      <c r="G92">
        <v>3091</v>
      </c>
      <c r="H92">
        <v>10774</v>
      </c>
      <c r="I92">
        <v>6472</v>
      </c>
      <c r="J92">
        <v>3727</v>
      </c>
      <c r="K92">
        <v>3143</v>
      </c>
      <c r="L92">
        <v>1966</v>
      </c>
      <c r="N92">
        <f t="shared" si="6"/>
        <v>829</v>
      </c>
      <c r="O92">
        <f t="shared" si="6"/>
        <v>9320</v>
      </c>
      <c r="P92">
        <f t="shared" si="6"/>
        <v>4231</v>
      </c>
      <c r="Q92">
        <f t="shared" si="6"/>
        <v>2767</v>
      </c>
      <c r="R92">
        <f t="shared" si="6"/>
        <v>1855</v>
      </c>
      <c r="S92">
        <f t="shared" si="6"/>
        <v>1119</v>
      </c>
      <c r="T92">
        <f t="shared" si="6"/>
        <v>8802</v>
      </c>
      <c r="U92">
        <f t="shared" si="6"/>
        <v>4500</v>
      </c>
      <c r="V92">
        <f t="shared" si="6"/>
        <v>1755</v>
      </c>
      <c r="W92">
        <f t="shared" si="6"/>
        <v>1171</v>
      </c>
    </row>
    <row r="93" spans="1:23" x14ac:dyDescent="0.2">
      <c r="A93" s="4" t="s">
        <v>36</v>
      </c>
      <c r="B93">
        <v>2851</v>
      </c>
      <c r="C93">
        <v>11762</v>
      </c>
      <c r="D93">
        <v>7591</v>
      </c>
      <c r="E93">
        <v>4011</v>
      </c>
      <c r="F93">
        <v>3719</v>
      </c>
      <c r="G93">
        <v>2630</v>
      </c>
      <c r="H93">
        <v>9633</v>
      </c>
      <c r="I93">
        <v>6449</v>
      </c>
      <c r="J93">
        <v>3876</v>
      </c>
      <c r="K93">
        <v>3416</v>
      </c>
      <c r="L93">
        <v>1974</v>
      </c>
      <c r="N93">
        <f t="shared" si="6"/>
        <v>879</v>
      </c>
      <c r="O93">
        <f t="shared" si="6"/>
        <v>9790</v>
      </c>
      <c r="P93">
        <f t="shared" si="6"/>
        <v>5619</v>
      </c>
      <c r="Q93">
        <f t="shared" si="6"/>
        <v>2039</v>
      </c>
      <c r="R93">
        <f t="shared" si="6"/>
        <v>1747</v>
      </c>
      <c r="S93">
        <f t="shared" si="6"/>
        <v>658</v>
      </c>
      <c r="T93">
        <f t="shared" si="6"/>
        <v>7661</v>
      </c>
      <c r="U93">
        <f t="shared" si="6"/>
        <v>4477</v>
      </c>
      <c r="V93">
        <f t="shared" si="6"/>
        <v>1904</v>
      </c>
      <c r="W93">
        <f t="shared" si="6"/>
        <v>1444</v>
      </c>
    </row>
    <row r="94" spans="1:23" x14ac:dyDescent="0.2">
      <c r="A94" s="4" t="s">
        <v>37</v>
      </c>
      <c r="B94">
        <v>2587</v>
      </c>
      <c r="C94">
        <v>10668</v>
      </c>
      <c r="D94">
        <v>5729</v>
      </c>
      <c r="E94">
        <v>6235</v>
      </c>
      <c r="F94">
        <v>3646</v>
      </c>
      <c r="G94">
        <v>2976</v>
      </c>
      <c r="H94">
        <v>10281</v>
      </c>
      <c r="I94">
        <v>6449</v>
      </c>
      <c r="J94">
        <v>4299</v>
      </c>
      <c r="K94">
        <v>3166</v>
      </c>
      <c r="L94">
        <v>188</v>
      </c>
      <c r="N94">
        <f t="shared" si="6"/>
        <v>615</v>
      </c>
      <c r="O94">
        <f t="shared" si="6"/>
        <v>8696</v>
      </c>
      <c r="P94">
        <f t="shared" si="6"/>
        <v>3757</v>
      </c>
      <c r="Q94">
        <f t="shared" si="6"/>
        <v>4263</v>
      </c>
      <c r="R94">
        <f t="shared" si="6"/>
        <v>1674</v>
      </c>
      <c r="S94">
        <f t="shared" si="6"/>
        <v>1004</v>
      </c>
      <c r="T94">
        <f t="shared" si="6"/>
        <v>8309</v>
      </c>
      <c r="U94">
        <f t="shared" si="6"/>
        <v>4477</v>
      </c>
      <c r="V94">
        <f t="shared" si="6"/>
        <v>2327</v>
      </c>
      <c r="W94">
        <f t="shared" si="6"/>
        <v>1194</v>
      </c>
    </row>
    <row r="95" spans="1:23" x14ac:dyDescent="0.2">
      <c r="A95" s="4" t="s">
        <v>38</v>
      </c>
      <c r="B95">
        <v>2854</v>
      </c>
      <c r="C95">
        <v>12140</v>
      </c>
      <c r="D95">
        <v>5993</v>
      </c>
      <c r="E95">
        <v>4750</v>
      </c>
      <c r="F95">
        <v>3431</v>
      </c>
      <c r="G95">
        <v>2800</v>
      </c>
      <c r="H95">
        <v>10019</v>
      </c>
      <c r="I95">
        <v>6077</v>
      </c>
      <c r="J95">
        <v>5802</v>
      </c>
      <c r="K95">
        <v>3646</v>
      </c>
      <c r="L95">
        <v>189</v>
      </c>
      <c r="N95">
        <f t="shared" si="6"/>
        <v>882</v>
      </c>
      <c r="O95">
        <f t="shared" si="6"/>
        <v>10168</v>
      </c>
      <c r="P95">
        <f t="shared" si="6"/>
        <v>4021</v>
      </c>
      <c r="Q95">
        <f t="shared" si="6"/>
        <v>2778</v>
      </c>
      <c r="R95">
        <f t="shared" si="6"/>
        <v>1459</v>
      </c>
      <c r="S95">
        <f t="shared" si="6"/>
        <v>828</v>
      </c>
      <c r="T95">
        <f t="shared" si="6"/>
        <v>8047</v>
      </c>
      <c r="U95">
        <f t="shared" si="6"/>
        <v>4105</v>
      </c>
      <c r="V95">
        <f t="shared" si="6"/>
        <v>3830</v>
      </c>
      <c r="W95">
        <f t="shared" si="6"/>
        <v>1674</v>
      </c>
    </row>
    <row r="97" spans="1:12" x14ac:dyDescent="0.2">
      <c r="L97">
        <f>AVERAGE(L91:L93)</f>
        <v>1972</v>
      </c>
    </row>
    <row r="100" spans="1:12" x14ac:dyDescent="0.2">
      <c r="A100" t="s">
        <v>39</v>
      </c>
      <c r="B100" s="2" t="s">
        <v>61</v>
      </c>
    </row>
    <row r="105" spans="1:12" x14ac:dyDescent="0.2">
      <c r="A105" t="s">
        <v>62</v>
      </c>
    </row>
    <row r="106" spans="1:12" x14ac:dyDescent="0.2">
      <c r="A106" t="s">
        <v>21</v>
      </c>
      <c r="E106" t="s">
        <v>44</v>
      </c>
    </row>
    <row r="107" spans="1:12" x14ac:dyDescent="0.2">
      <c r="A107" t="s">
        <v>45</v>
      </c>
      <c r="E107">
        <v>488</v>
      </c>
      <c r="F107" t="s">
        <v>24</v>
      </c>
    </row>
    <row r="108" spans="1:12" x14ac:dyDescent="0.2">
      <c r="A108" t="s">
        <v>46</v>
      </c>
      <c r="E108">
        <v>520</v>
      </c>
      <c r="F108" t="s">
        <v>24</v>
      </c>
    </row>
    <row r="109" spans="1:12" x14ac:dyDescent="0.2">
      <c r="A109" t="s">
        <v>47</v>
      </c>
      <c r="E109">
        <v>9</v>
      </c>
      <c r="F109" t="s">
        <v>24</v>
      </c>
    </row>
    <row r="110" spans="1:12" x14ac:dyDescent="0.2">
      <c r="A110" t="s">
        <v>48</v>
      </c>
      <c r="E110">
        <v>20</v>
      </c>
      <c r="F110" t="s">
        <v>24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26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27</v>
      </c>
      <c r="E115">
        <v>0</v>
      </c>
      <c r="F115" t="s">
        <v>28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29</v>
      </c>
      <c r="E117" t="s">
        <v>30</v>
      </c>
    </row>
    <row r="118" spans="1:12" x14ac:dyDescent="0.2">
      <c r="A118" t="s">
        <v>31</v>
      </c>
      <c r="B118" s="2" t="s">
        <v>63</v>
      </c>
    </row>
    <row r="120" spans="1:12" x14ac:dyDescent="0.2">
      <c r="B120" t="s">
        <v>57</v>
      </c>
    </row>
    <row r="121" spans="1:12" x14ac:dyDescent="0.2">
      <c r="A121" s="4" t="s">
        <v>33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34</v>
      </c>
      <c r="B122">
        <v>13757</v>
      </c>
      <c r="C122">
        <v>53178</v>
      </c>
      <c r="D122">
        <v>24799</v>
      </c>
      <c r="E122">
        <v>17848</v>
      </c>
      <c r="F122">
        <v>17811</v>
      </c>
      <c r="G122">
        <v>13497</v>
      </c>
      <c r="H122">
        <v>50474</v>
      </c>
      <c r="I122">
        <v>26861</v>
      </c>
      <c r="J122">
        <v>21779</v>
      </c>
      <c r="K122">
        <v>17118</v>
      </c>
      <c r="L122">
        <v>9469</v>
      </c>
    </row>
    <row r="123" spans="1:12" x14ac:dyDescent="0.2">
      <c r="A123" s="4" t="s">
        <v>35</v>
      </c>
      <c r="B123">
        <v>13558</v>
      </c>
      <c r="C123">
        <v>53710</v>
      </c>
      <c r="D123">
        <v>29596</v>
      </c>
      <c r="E123">
        <v>22751</v>
      </c>
      <c r="F123">
        <v>18280</v>
      </c>
      <c r="G123">
        <v>14790</v>
      </c>
      <c r="H123">
        <v>51265</v>
      </c>
      <c r="I123">
        <v>30953</v>
      </c>
      <c r="J123">
        <v>17823</v>
      </c>
      <c r="K123">
        <v>15140</v>
      </c>
      <c r="L123">
        <v>9435</v>
      </c>
    </row>
    <row r="124" spans="1:12" x14ac:dyDescent="0.2">
      <c r="A124" s="4" t="s">
        <v>36</v>
      </c>
      <c r="B124">
        <v>13710</v>
      </c>
      <c r="C124">
        <v>55802</v>
      </c>
      <c r="D124">
        <v>36423</v>
      </c>
      <c r="E124">
        <v>19392</v>
      </c>
      <c r="F124">
        <v>17913</v>
      </c>
      <c r="G124">
        <v>12616</v>
      </c>
      <c r="H124">
        <v>45975</v>
      </c>
      <c r="I124">
        <v>30996</v>
      </c>
      <c r="J124">
        <v>18610</v>
      </c>
      <c r="K124">
        <v>16452</v>
      </c>
      <c r="L124">
        <v>9446</v>
      </c>
    </row>
    <row r="125" spans="1:12" x14ac:dyDescent="0.2">
      <c r="A125" s="4" t="s">
        <v>37</v>
      </c>
      <c r="B125">
        <v>12511</v>
      </c>
      <c r="C125">
        <v>50772</v>
      </c>
      <c r="D125">
        <v>27493</v>
      </c>
      <c r="E125">
        <v>30118</v>
      </c>
      <c r="F125">
        <v>17567</v>
      </c>
      <c r="G125">
        <v>14317</v>
      </c>
      <c r="H125">
        <v>49113</v>
      </c>
      <c r="I125">
        <v>31012</v>
      </c>
      <c r="J125">
        <v>20714</v>
      </c>
      <c r="K125">
        <v>15243</v>
      </c>
      <c r="L125">
        <v>915</v>
      </c>
    </row>
    <row r="126" spans="1:12" x14ac:dyDescent="0.2">
      <c r="A126" s="4" t="s">
        <v>38</v>
      </c>
      <c r="B126">
        <v>13785</v>
      </c>
      <c r="C126">
        <v>57726</v>
      </c>
      <c r="D126">
        <v>28725</v>
      </c>
      <c r="E126">
        <v>22714</v>
      </c>
      <c r="F126">
        <v>16473</v>
      </c>
      <c r="G126">
        <v>13511</v>
      </c>
      <c r="H126">
        <v>47982</v>
      </c>
      <c r="I126">
        <v>29039</v>
      </c>
      <c r="J126">
        <v>27789</v>
      </c>
      <c r="K126">
        <v>17511</v>
      </c>
      <c r="L126">
        <v>908</v>
      </c>
    </row>
    <row r="131" spans="1:2" x14ac:dyDescent="0.2">
      <c r="A131" t="s">
        <v>39</v>
      </c>
      <c r="B131" s="2" t="s">
        <v>64</v>
      </c>
    </row>
  </sheetData>
  <mergeCells count="4">
    <mergeCell ref="N67:Q67"/>
    <mergeCell ref="S67:V67"/>
    <mergeCell ref="N68:R68"/>
    <mergeCell ref="S68:W68"/>
  </mergeCells>
  <conditionalFormatting sqref="N83:W8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2025-10-25T01:18:01Z</dcterms:modified>
</cp:coreProperties>
</file>