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BF1E8535-9307-814A-991A-C00E773B682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1" i="2" l="1"/>
  <c r="N70" i="2" l="1"/>
  <c r="W95" i="2"/>
  <c r="V95" i="2"/>
  <c r="U95" i="2"/>
  <c r="T95" i="2"/>
  <c r="S95" i="2"/>
  <c r="R95" i="2"/>
  <c r="Q95" i="2"/>
  <c r="P95" i="2"/>
  <c r="O95" i="2"/>
  <c r="W94" i="2"/>
  <c r="V94" i="2"/>
  <c r="U94" i="2"/>
  <c r="T94" i="2"/>
  <c r="T73" i="2" s="1"/>
  <c r="S94" i="2"/>
  <c r="S73" i="2" s="1"/>
  <c r="R94" i="2"/>
  <c r="R73" i="2" s="1"/>
  <c r="Q94" i="2"/>
  <c r="Q73" i="2" s="1"/>
  <c r="P94" i="2"/>
  <c r="P73" i="2" s="1"/>
  <c r="O94" i="2"/>
  <c r="W93" i="2"/>
  <c r="V93" i="2"/>
  <c r="U93" i="2"/>
  <c r="T93" i="2"/>
  <c r="S93" i="2"/>
  <c r="R93" i="2"/>
  <c r="Q93" i="2"/>
  <c r="P93" i="2"/>
  <c r="O93" i="2"/>
  <c r="W92" i="2"/>
  <c r="W71" i="2" s="1"/>
  <c r="V92" i="2"/>
  <c r="V71" i="2" s="1"/>
  <c r="U92" i="2"/>
  <c r="U71" i="2" s="1"/>
  <c r="T92" i="2"/>
  <c r="T71" i="2" s="1"/>
  <c r="S92" i="2"/>
  <c r="S71" i="2" s="1"/>
  <c r="R92" i="2"/>
  <c r="Q92" i="2"/>
  <c r="P92" i="2"/>
  <c r="P71" i="2" s="1"/>
  <c r="O92" i="2"/>
  <c r="W91" i="2"/>
  <c r="V91" i="2"/>
  <c r="U91" i="2"/>
  <c r="T91" i="2"/>
  <c r="S91" i="2"/>
  <c r="R91" i="2"/>
  <c r="R70" i="2" s="1"/>
  <c r="Q91" i="2"/>
  <c r="Q70" i="2" s="1"/>
  <c r="P70" i="2"/>
  <c r="O91" i="2"/>
  <c r="O70" i="2" s="1"/>
  <c r="O76" i="2" s="1"/>
  <c r="N95" i="2"/>
  <c r="N94" i="2"/>
  <c r="N93" i="2"/>
  <c r="N92" i="2"/>
  <c r="N91" i="2"/>
  <c r="W74" i="2"/>
  <c r="V74" i="2"/>
  <c r="U74" i="2"/>
  <c r="T74" i="2"/>
  <c r="S74" i="2"/>
  <c r="R74" i="2"/>
  <c r="Q74" i="2"/>
  <c r="P74" i="2"/>
  <c r="O74" i="2"/>
  <c r="N74" i="2"/>
  <c r="W73" i="2"/>
  <c r="V73" i="2"/>
  <c r="U73" i="2"/>
  <c r="O73" i="2"/>
  <c r="N73" i="2"/>
  <c r="W72" i="2"/>
  <c r="V72" i="2"/>
  <c r="U72" i="2"/>
  <c r="T72" i="2"/>
  <c r="S72" i="2"/>
  <c r="R72" i="2"/>
  <c r="Q72" i="2"/>
  <c r="P72" i="2"/>
  <c r="O72" i="2"/>
  <c r="N72" i="2"/>
  <c r="R71" i="2"/>
  <c r="Q71" i="2"/>
  <c r="O71" i="2"/>
  <c r="N71" i="2"/>
  <c r="W70" i="2"/>
  <c r="V70" i="2"/>
  <c r="U70" i="2"/>
  <c r="T70" i="2"/>
  <c r="S70" i="2"/>
  <c r="L97" i="2"/>
  <c r="W33" i="2"/>
  <c r="V33" i="2"/>
  <c r="U33" i="2"/>
  <c r="T33" i="2"/>
  <c r="S33" i="2"/>
  <c r="R33" i="2"/>
  <c r="Q33" i="2"/>
  <c r="P33" i="2"/>
  <c r="O33" i="2"/>
  <c r="N33" i="2"/>
  <c r="W32" i="2"/>
  <c r="V32" i="2"/>
  <c r="U32" i="2"/>
  <c r="T32" i="2"/>
  <c r="S32" i="2"/>
  <c r="R32" i="2"/>
  <c r="Q32" i="2"/>
  <c r="P32" i="2"/>
  <c r="O32" i="2"/>
  <c r="N32" i="2"/>
  <c r="W31" i="2"/>
  <c r="V31" i="2"/>
  <c r="U31" i="2"/>
  <c r="T31" i="2"/>
  <c r="S31" i="2"/>
  <c r="R31" i="2"/>
  <c r="Q31" i="2"/>
  <c r="P31" i="2"/>
  <c r="O31" i="2"/>
  <c r="N31" i="2"/>
  <c r="W30" i="2"/>
  <c r="V30" i="2"/>
  <c r="U30" i="2"/>
  <c r="T30" i="2"/>
  <c r="S30" i="2"/>
  <c r="R30" i="2"/>
  <c r="Q30" i="2"/>
  <c r="P30" i="2"/>
  <c r="O30" i="2"/>
  <c r="N30" i="2"/>
  <c r="W29" i="2"/>
  <c r="V29" i="2"/>
  <c r="U29" i="2"/>
  <c r="T29" i="2"/>
  <c r="S29" i="2"/>
  <c r="R29" i="2"/>
  <c r="Q29" i="2"/>
  <c r="P29" i="2"/>
  <c r="O29" i="2"/>
  <c r="N29" i="2"/>
  <c r="L35" i="2"/>
  <c r="P76" i="2" l="1"/>
  <c r="Q76" i="2"/>
  <c r="R76" i="2"/>
  <c r="V76" i="2"/>
  <c r="V87" i="2" s="1"/>
  <c r="S76" i="2"/>
  <c r="S84" i="2" s="1"/>
  <c r="U76" i="2"/>
  <c r="U87" i="2" s="1"/>
  <c r="W76" i="2"/>
  <c r="T76" i="2"/>
  <c r="T87" i="2" s="1"/>
  <c r="N76" i="2"/>
  <c r="Q84" i="2"/>
  <c r="Q87" i="2"/>
  <c r="Q78" i="2"/>
  <c r="R87" i="2"/>
  <c r="R78" i="2"/>
  <c r="R84" i="2"/>
  <c r="S87" i="2"/>
  <c r="S78" i="2"/>
  <c r="U78" i="2"/>
  <c r="U84" i="2"/>
  <c r="N84" i="2"/>
  <c r="N78" i="2"/>
  <c r="N87" i="2"/>
  <c r="O84" i="2"/>
  <c r="O78" i="2"/>
  <c r="O87" i="2"/>
  <c r="W87" i="2"/>
  <c r="W78" i="2"/>
  <c r="W84" i="2"/>
  <c r="P84" i="2"/>
  <c r="P87" i="2"/>
  <c r="P78" i="2"/>
  <c r="V84" i="2"/>
  <c r="V78" i="2"/>
  <c r="T84" i="2" l="1"/>
  <c r="T7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<sst xmlns="http://schemas.openxmlformats.org/spreadsheetml/2006/main" count="177" uniqueCount="80">
  <si>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</si>
  <si>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</si>
  <si>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</si>
  <si>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</si>
  <si>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</si>
  <si>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</si>
  <si>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</si>
  <si>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</si>
  <si>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</si>
  <si>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5:24:09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</si>
  <si>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</si>
  <si>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</si>
  <si>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</si>
  <si>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</si>
  <si>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</si>
  <si>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</si>
  <si>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</si>
  <si>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</si>
  <si>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</si>
  <si>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</si>
  <si>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</si>
  <si>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</si>
  <si>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</si>
  <si>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</si>
  <si>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</si>
  <si>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</si>
  <si>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</si>
  <si>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</si>
  <si>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</si>
  <si>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</si>
  <si>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</si>
  <si>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</si>
  <si>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</si>
  <si>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9/24/2025 5:24:14 PM</t>
  </si>
  <si>
    <t>Temperature: 26.7 °C</t>
  </si>
  <si>
    <t>&lt;&gt;</t>
  </si>
  <si>
    <t>B</t>
  </si>
  <si>
    <t>C</t>
  </si>
  <si>
    <t>D</t>
  </si>
  <si>
    <t>E</t>
  </si>
  <si>
    <t>F</t>
  </si>
  <si>
    <t>End Time:</t>
  </si>
  <si>
    <t>9/24/2025 5:24:40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</si>
  <si>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</si>
  <si>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</si>
  <si>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</si>
  <si>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</si>
  <si>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</si>
  <si>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</si>
  <si>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</si>
  <si>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</si>
  <si>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</si>
  <si>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</si>
  <si>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</si>
  <si>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</si>
  <si>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</si>
  <si>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9/24/2025 5:24:44 PM</t>
  </si>
  <si>
    <t>9/24/2025 5:25:33 PM</t>
  </si>
  <si>
    <t>Label: gfp 80</t>
  </si>
  <si>
    <t>9/24/2025 5:25:40 PM</t>
  </si>
  <si>
    <t>Temperature: 26.8 °C</t>
  </si>
  <si>
    <t>9/24/2025 5:26:28 PM</t>
  </si>
  <si>
    <t>Label: gfp100</t>
  </si>
  <si>
    <t>9/24/2025 5:26:36 PM</t>
  </si>
  <si>
    <t>OVER</t>
  </si>
  <si>
    <t>9/24/2025 5:27:24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</si>
  <si>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</si>
  <si>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</si>
  <si>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</si>
  <si>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</si>
  <si>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</si>
  <si>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</si>
  <si>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</si>
  <si>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</si>
  <si>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</si>
  <si>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D7</t>
  </si>
  <si>
    <t>D13/D1</t>
  </si>
  <si>
    <t>D13/D7</t>
  </si>
  <si>
    <t>D12</t>
  </si>
  <si>
    <t>D13/D12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</si>
</sst>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A67" zoomScale="116" workbookViewId="0">
      <selection activeCell="D91" sqref="D91:D95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45924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31</v>
      </c>
    </row>
    <row r="25" spans="1:23" x14ac:dyDescent="0.2">
      <c r="A25" t="s">
        <v>32</v>
      </c>
      <c r="B25" s="2" t="s">
        <v>33</v>
      </c>
    </row>
    <row r="27" spans="1:23" x14ac:dyDescent="0.2">
      <c r="B27" t="s">
        <v>34</v>
      </c>
    </row>
    <row r="28" spans="1:23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36</v>
      </c>
      <c r="B29">
        <v>0.98089998960494995</v>
      </c>
      <c r="C29">
        <v>1.0332000255584717</v>
      </c>
      <c r="D29">
        <v>0.94849997758865356</v>
      </c>
      <c r="E29">
        <v>0.88830000162124634</v>
      </c>
      <c r="F29">
        <v>0.83300000429153442</v>
      </c>
      <c r="G29">
        <v>0.98040002584457397</v>
      </c>
      <c r="H29">
        <v>1.0885000228881836</v>
      </c>
      <c r="I29">
        <v>1.166700005531311</v>
      </c>
      <c r="J29">
        <v>0.82489997148513794</v>
      </c>
      <c r="K29">
        <v>0.81309998035430908</v>
      </c>
      <c r="L29">
        <v>4.2300000786781311E-2</v>
      </c>
      <c r="N29">
        <f>B29-0.043</f>
        <v>0.93789998960494991</v>
      </c>
      <c r="O29">
        <f t="shared" ref="O29:W33" si="0">C29-0.043</f>
        <v>0.99020002555847164</v>
      </c>
      <c r="P29">
        <f t="shared" si="0"/>
        <v>0.90549997758865353</v>
      </c>
      <c r="Q29">
        <f t="shared" si="0"/>
        <v>0.8453000016212463</v>
      </c>
      <c r="R29">
        <f t="shared" si="0"/>
        <v>0.79000000429153439</v>
      </c>
      <c r="S29">
        <f t="shared" si="0"/>
        <v>0.93740002584457394</v>
      </c>
      <c r="T29">
        <f t="shared" si="0"/>
        <v>1.0455000228881837</v>
      </c>
      <c r="U29">
        <f t="shared" si="0"/>
        <v>1.1237000055313111</v>
      </c>
      <c r="V29">
        <f t="shared" si="0"/>
        <v>0.7818999714851379</v>
      </c>
      <c r="W29">
        <f t="shared" si="0"/>
        <v>0.77009998035430904</v>
      </c>
    </row>
    <row r="30" spans="1:23" x14ac:dyDescent="0.2">
      <c r="A30" s="4" t="s">
        <v>37</v>
      </c>
      <c r="B30">
        <v>0.97759997844696045</v>
      </c>
      <c r="C30">
        <v>0.98269999027252197</v>
      </c>
      <c r="D30">
        <v>0.87050002813339233</v>
      </c>
      <c r="E30">
        <v>0.80760002136230469</v>
      </c>
      <c r="F30">
        <v>0.77120000123977661</v>
      </c>
      <c r="G30">
        <v>0.86930000782012939</v>
      </c>
      <c r="H30">
        <v>0.90630000829696655</v>
      </c>
      <c r="I30">
        <v>1.0034999847412109</v>
      </c>
      <c r="J30">
        <v>0.73150002956390381</v>
      </c>
      <c r="K30">
        <v>0.82059997320175171</v>
      </c>
      <c r="L30">
        <v>4.3600000441074371E-2</v>
      </c>
      <c r="N30">
        <f t="shared" ref="N30:N33" si="1">B30-0.043</f>
        <v>0.93459997844696041</v>
      </c>
      <c r="O30">
        <f t="shared" si="0"/>
        <v>0.93969999027252193</v>
      </c>
      <c r="P30">
        <f t="shared" si="0"/>
        <v>0.8275000281333923</v>
      </c>
      <c r="Q30">
        <f t="shared" si="0"/>
        <v>0.76460002136230465</v>
      </c>
      <c r="R30">
        <f t="shared" si="0"/>
        <v>0.72820000123977657</v>
      </c>
      <c r="S30">
        <f t="shared" si="0"/>
        <v>0.82630000782012936</v>
      </c>
      <c r="T30">
        <f t="shared" si="0"/>
        <v>0.86330000829696651</v>
      </c>
      <c r="U30">
        <f t="shared" si="0"/>
        <v>0.9604999847412109</v>
      </c>
      <c r="V30">
        <f t="shared" si="0"/>
        <v>0.68850002956390377</v>
      </c>
      <c r="W30">
        <f t="shared" si="0"/>
        <v>0.77759997320175167</v>
      </c>
    </row>
    <row r="31" spans="1:23" x14ac:dyDescent="0.2">
      <c r="A31" s="4" t="s">
        <v>38</v>
      </c>
      <c r="B31">
        <v>0.94270002841949463</v>
      </c>
      <c r="C31">
        <v>0.9090999960899353</v>
      </c>
      <c r="D31">
        <v>0.9375</v>
      </c>
      <c r="E31">
        <v>0.8694000244140625</v>
      </c>
      <c r="F31">
        <v>0.83780002593994141</v>
      </c>
      <c r="G31">
        <v>0.89539998769760132</v>
      </c>
      <c r="H31">
        <v>0.98580002784729004</v>
      </c>
      <c r="I31">
        <v>0.92489999532699585</v>
      </c>
      <c r="J31">
        <v>0.79040002822875977</v>
      </c>
      <c r="K31">
        <v>0.72509998083114624</v>
      </c>
      <c r="L31">
        <v>4.2899999767541885E-2</v>
      </c>
      <c r="N31">
        <f t="shared" si="1"/>
        <v>0.89970002841949459</v>
      </c>
      <c r="O31">
        <f t="shared" si="0"/>
        <v>0.86609999608993526</v>
      </c>
      <c r="P31">
        <f t="shared" si="0"/>
        <v>0.89449999999999996</v>
      </c>
      <c r="Q31">
        <f t="shared" si="0"/>
        <v>0.82640002441406246</v>
      </c>
      <c r="R31">
        <f t="shared" si="0"/>
        <v>0.79480002593994137</v>
      </c>
      <c r="S31">
        <f t="shared" si="0"/>
        <v>0.85239998769760128</v>
      </c>
      <c r="T31">
        <f t="shared" si="0"/>
        <v>0.94280002784729</v>
      </c>
      <c r="U31">
        <f t="shared" si="0"/>
        <v>0.88189999532699581</v>
      </c>
      <c r="V31">
        <f t="shared" si="0"/>
        <v>0.74740002822875973</v>
      </c>
      <c r="W31">
        <f t="shared" si="0"/>
        <v>0.6820999808311462</v>
      </c>
    </row>
    <row r="32" spans="1:23" x14ac:dyDescent="0.2">
      <c r="A32" s="4" t="s">
        <v>39</v>
      </c>
      <c r="B32">
        <v>0.88889998197555542</v>
      </c>
      <c r="C32">
        <v>0.86760002374649048</v>
      </c>
      <c r="D32">
        <v>0.99860000610351562</v>
      </c>
      <c r="E32">
        <v>0.95029997825622559</v>
      </c>
      <c r="F32">
        <v>0.74320000410079956</v>
      </c>
      <c r="G32">
        <v>0.94789999723434448</v>
      </c>
      <c r="H32">
        <v>1.0463999509811401</v>
      </c>
      <c r="I32">
        <v>0.92400002479553223</v>
      </c>
      <c r="J32">
        <v>0.88510000705718994</v>
      </c>
      <c r="K32">
        <v>0.71450001001358032</v>
      </c>
      <c r="L32">
        <v>4.4199999421834946E-2</v>
      </c>
      <c r="N32">
        <f t="shared" si="1"/>
        <v>0.84589998197555538</v>
      </c>
      <c r="O32">
        <f t="shared" si="0"/>
        <v>0.82460002374649044</v>
      </c>
      <c r="P32">
        <f t="shared" si="0"/>
        <v>0.95560000610351559</v>
      </c>
      <c r="Q32">
        <f t="shared" si="0"/>
        <v>0.90729997825622555</v>
      </c>
      <c r="R32">
        <f t="shared" si="0"/>
        <v>0.70020000410079952</v>
      </c>
      <c r="S32">
        <f t="shared" si="0"/>
        <v>0.90489999723434444</v>
      </c>
      <c r="T32">
        <f t="shared" si="0"/>
        <v>1.0033999509811402</v>
      </c>
      <c r="U32">
        <f t="shared" si="0"/>
        <v>0.88100002479553219</v>
      </c>
      <c r="V32">
        <f t="shared" si="0"/>
        <v>0.8421000070571899</v>
      </c>
      <c r="W32">
        <f t="shared" si="0"/>
        <v>0.67150001001358028</v>
      </c>
    </row>
    <row r="33" spans="1:23" x14ac:dyDescent="0.2">
      <c r="A33" s="4" t="s">
        <v>40</v>
      </c>
      <c r="B33">
        <v>0.96869999170303345</v>
      </c>
      <c r="C33">
        <v>0.92009997367858887</v>
      </c>
      <c r="D33">
        <v>0.95420002937316895</v>
      </c>
      <c r="E33">
        <v>0.73439997434616089</v>
      </c>
      <c r="F33">
        <v>0.82270002365112305</v>
      </c>
      <c r="G33">
        <v>0.98619997501373291</v>
      </c>
      <c r="H33">
        <v>0.82950001955032349</v>
      </c>
      <c r="I33">
        <v>1.0147000551223755</v>
      </c>
      <c r="J33">
        <v>0.74989998340606689</v>
      </c>
      <c r="K33">
        <v>0.72399997711181641</v>
      </c>
      <c r="L33">
        <v>4.4599998742341995E-2</v>
      </c>
      <c r="N33">
        <f t="shared" si="1"/>
        <v>0.92569999170303341</v>
      </c>
      <c r="O33">
        <f t="shared" si="0"/>
        <v>0.87709997367858883</v>
      </c>
      <c r="P33">
        <f t="shared" si="0"/>
        <v>0.91120002937316891</v>
      </c>
      <c r="Q33">
        <f t="shared" si="0"/>
        <v>0.69139997434616085</v>
      </c>
      <c r="R33">
        <f t="shared" si="0"/>
        <v>0.77970002365112301</v>
      </c>
      <c r="S33">
        <f t="shared" si="0"/>
        <v>0.94319997501373287</v>
      </c>
      <c r="T33">
        <f t="shared" si="0"/>
        <v>0.78650001955032345</v>
      </c>
      <c r="U33">
        <f t="shared" si="0"/>
        <v>0.97170005512237545</v>
      </c>
      <c r="V33">
        <f t="shared" si="0"/>
        <v>0.70689998340606686</v>
      </c>
      <c r="W33">
        <f t="shared" si="0"/>
        <v>0.68099997711181637</v>
      </c>
    </row>
    <row r="35" spans="1:23" x14ac:dyDescent="0.2">
      <c r="L35">
        <f>AVERAGE(L29:L31)</f>
        <v>4.2933333665132523E-2</v>
      </c>
    </row>
    <row r="38" spans="1:23" x14ac:dyDescent="0.2">
      <c r="A38" t="s">
        <v>41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22</v>
      </c>
      <c r="E44" t="s">
        <v>44</v>
      </c>
    </row>
    <row r="45" spans="1:23" x14ac:dyDescent="0.2">
      <c r="A45" t="s">
        <v>45</v>
      </c>
      <c r="E45">
        <v>488</v>
      </c>
      <c r="F45" t="s">
        <v>25</v>
      </c>
    </row>
    <row r="46" spans="1:23" x14ac:dyDescent="0.2">
      <c r="A46" t="s">
        <v>46</v>
      </c>
      <c r="E46">
        <v>520</v>
      </c>
      <c r="F46" t="s">
        <v>25</v>
      </c>
    </row>
    <row r="47" spans="1:23" x14ac:dyDescent="0.2">
      <c r="A47" t="s">
        <v>47</v>
      </c>
      <c r="E47">
        <v>9</v>
      </c>
      <c r="F47" t="s">
        <v>25</v>
      </c>
    </row>
    <row r="48" spans="1:23" x14ac:dyDescent="0.2">
      <c r="A48" t="s">
        <v>48</v>
      </c>
      <c r="E48">
        <v>20</v>
      </c>
      <c r="F48" t="s">
        <v>25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27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30</v>
      </c>
      <c r="E55" t="s">
        <v>31</v>
      </c>
    </row>
    <row r="56" spans="1:12" x14ac:dyDescent="0.2">
      <c r="A56" t="s">
        <v>32</v>
      </c>
      <c r="B56" s="2" t="s">
        <v>56</v>
      </c>
    </row>
    <row r="58" spans="1:12" x14ac:dyDescent="0.2">
      <c r="B58" t="s">
        <v>34</v>
      </c>
    </row>
    <row r="59" spans="1:12" x14ac:dyDescent="0.2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36</v>
      </c>
      <c r="B60">
        <v>115</v>
      </c>
      <c r="C60">
        <v>483</v>
      </c>
      <c r="D60">
        <v>272</v>
      </c>
      <c r="E60">
        <v>218</v>
      </c>
      <c r="F60">
        <v>144</v>
      </c>
      <c r="G60">
        <v>115</v>
      </c>
      <c r="H60">
        <v>539</v>
      </c>
      <c r="I60">
        <v>371</v>
      </c>
      <c r="J60">
        <v>379</v>
      </c>
      <c r="K60">
        <v>139</v>
      </c>
      <c r="L60">
        <v>79</v>
      </c>
    </row>
    <row r="61" spans="1:12" x14ac:dyDescent="0.2">
      <c r="A61" s="4" t="s">
        <v>37</v>
      </c>
      <c r="B61">
        <v>112</v>
      </c>
      <c r="C61">
        <v>454</v>
      </c>
      <c r="D61">
        <v>287</v>
      </c>
      <c r="E61">
        <v>557</v>
      </c>
      <c r="F61">
        <v>129</v>
      </c>
      <c r="G61">
        <v>105</v>
      </c>
      <c r="H61">
        <v>425</v>
      </c>
      <c r="I61">
        <v>362</v>
      </c>
      <c r="J61">
        <v>331</v>
      </c>
      <c r="K61">
        <v>144</v>
      </c>
      <c r="L61">
        <v>80</v>
      </c>
    </row>
    <row r="62" spans="1:12" x14ac:dyDescent="0.2">
      <c r="A62" s="4" t="s">
        <v>38</v>
      </c>
      <c r="B62">
        <v>111</v>
      </c>
      <c r="C62">
        <v>417</v>
      </c>
      <c r="D62">
        <v>322</v>
      </c>
      <c r="E62">
        <v>467</v>
      </c>
      <c r="F62">
        <v>132</v>
      </c>
      <c r="G62">
        <v>109</v>
      </c>
      <c r="H62">
        <v>489</v>
      </c>
      <c r="I62">
        <v>306</v>
      </c>
      <c r="J62">
        <v>366</v>
      </c>
      <c r="K62">
        <v>127</v>
      </c>
      <c r="L62">
        <v>78</v>
      </c>
    </row>
    <row r="63" spans="1:12" x14ac:dyDescent="0.2">
      <c r="A63" s="4" t="s">
        <v>39</v>
      </c>
      <c r="B63">
        <v>112</v>
      </c>
      <c r="C63">
        <v>407</v>
      </c>
      <c r="D63">
        <v>252</v>
      </c>
      <c r="E63">
        <v>504</v>
      </c>
      <c r="F63">
        <v>136</v>
      </c>
      <c r="G63">
        <v>119</v>
      </c>
      <c r="H63">
        <v>514</v>
      </c>
      <c r="I63">
        <v>311</v>
      </c>
      <c r="J63">
        <v>421</v>
      </c>
      <c r="K63">
        <v>136</v>
      </c>
      <c r="L63">
        <v>7</v>
      </c>
    </row>
    <row r="64" spans="1:12" x14ac:dyDescent="0.2">
      <c r="A64" s="4" t="s">
        <v>40</v>
      </c>
      <c r="B64">
        <v>124</v>
      </c>
      <c r="C64">
        <v>393</v>
      </c>
      <c r="D64">
        <v>243</v>
      </c>
      <c r="E64">
        <v>505</v>
      </c>
      <c r="F64">
        <v>144</v>
      </c>
      <c r="G64">
        <v>120</v>
      </c>
      <c r="H64">
        <v>381</v>
      </c>
      <c r="I64">
        <v>324</v>
      </c>
      <c r="J64">
        <v>370</v>
      </c>
      <c r="K64">
        <v>127</v>
      </c>
      <c r="L64">
        <v>6</v>
      </c>
    </row>
    <row r="67" spans="1:23" x14ac:dyDescent="0.2">
      <c r="N67" s="19" t="s">
        <v>66</v>
      </c>
      <c r="O67" s="19"/>
      <c r="P67" s="19"/>
      <c r="Q67" s="19"/>
      <c r="R67" t="s">
        <v>67</v>
      </c>
      <c r="S67" s="19" t="s">
        <v>66</v>
      </c>
      <c r="T67" s="19"/>
      <c r="U67" s="19"/>
      <c r="V67" s="19"/>
      <c r="W67" t="s">
        <v>67</v>
      </c>
    </row>
    <row r="68" spans="1:23" x14ac:dyDescent="0.2">
      <c r="N68" s="19" t="s">
        <v>68</v>
      </c>
      <c r="O68" s="19"/>
      <c r="P68" s="19"/>
      <c r="Q68" s="19"/>
      <c r="R68" s="19"/>
      <c r="S68" s="19" t="s">
        <v>69</v>
      </c>
      <c r="T68" s="19"/>
      <c r="U68" s="19"/>
      <c r="V68" s="19"/>
      <c r="W68" s="19"/>
    </row>
    <row r="69" spans="1:23" ht="16" thickBot="1" x14ac:dyDescent="0.25">
      <c r="A69" t="s">
        <v>41</v>
      </c>
      <c r="B69" s="2" t="s">
        <v>57</v>
      </c>
      <c r="N69" t="s">
        <v>70</v>
      </c>
      <c r="O69" t="s">
        <v>71</v>
      </c>
      <c r="P69" t="s">
        <v>72</v>
      </c>
      <c r="Q69" t="s">
        <v>73</v>
      </c>
      <c r="R69" t="s">
        <v>74</v>
      </c>
      <c r="S69" t="s">
        <v>70</v>
      </c>
      <c r="T69" t="s">
        <v>71</v>
      </c>
      <c r="U69" t="s">
        <v>72</v>
      </c>
      <c r="V69" t="s">
        <v>73</v>
      </c>
      <c r="W69" t="s">
        <v>74</v>
      </c>
    </row>
    <row r="70" spans="1:23" x14ac:dyDescent="0.2">
      <c r="N70" s="6">
        <f>N91/N29</f>
        <v>1107.7940201680076</v>
      </c>
      <c r="O70" s="7">
        <f t="shared" ref="O70:W70" si="2">O91/O29</f>
        <v>11705.715714825083</v>
      </c>
      <c r="P70" s="7">
        <f t="shared" si="2"/>
        <v>4016.565532873155</v>
      </c>
      <c r="Q70" s="7">
        <f t="shared" si="2"/>
        <v>4711.9365815222882</v>
      </c>
      <c r="R70" s="8">
        <f t="shared" si="2"/>
        <v>2351.8987214009439</v>
      </c>
      <c r="S70" s="6">
        <f t="shared" si="2"/>
        <v>1088.1160357137878</v>
      </c>
      <c r="T70" s="7">
        <f t="shared" si="2"/>
        <v>12541.367492062054</v>
      </c>
      <c r="U70" s="7">
        <f t="shared" si="2"/>
        <v>7348.93651272648</v>
      </c>
      <c r="V70" s="7">
        <f t="shared" si="2"/>
        <v>10927.228944351486</v>
      </c>
      <c r="W70" s="8">
        <f t="shared" si="2"/>
        <v>2206.2070423873024</v>
      </c>
    </row>
    <row r="71" spans="1:23" x14ac:dyDescent="0.2">
      <c r="N71" s="9">
        <f t="shared" ref="N71:W74" si="3">N92/N30</f>
        <v>1031.4573317259155</v>
      </c>
      <c r="O71">
        <f t="shared" si="3"/>
        <v>11360.008630950553</v>
      </c>
      <c r="P71">
        <f t="shared" si="3"/>
        <v>7606.0420374818559</v>
      </c>
      <c r="Q71">
        <f t="shared" si="3"/>
        <v>17741.302146226652</v>
      </c>
      <c r="R71" s="10">
        <f t="shared" si="3"/>
        <v>1932.1614908054812</v>
      </c>
      <c r="S71" s="9">
        <f t="shared" si="3"/>
        <v>920.97300350704586</v>
      </c>
      <c r="T71">
        <f t="shared" si="3"/>
        <v>11437.507129738662</v>
      </c>
      <c r="U71">
        <f t="shared" si="3"/>
        <v>8382.0927932333016</v>
      </c>
      <c r="V71">
        <f t="shared" si="3"/>
        <v>10386.346685459763</v>
      </c>
      <c r="W71" s="10">
        <f t="shared" si="3"/>
        <v>2327.674977337464</v>
      </c>
    </row>
    <row r="72" spans="1:23" x14ac:dyDescent="0.2">
      <c r="N72" s="9">
        <f t="shared" si="3"/>
        <v>971.43489206659035</v>
      </c>
      <c r="O72">
        <f t="shared" si="3"/>
        <v>11054.150840806426</v>
      </c>
      <c r="P72">
        <f t="shared" si="3"/>
        <v>4292.9010620458357</v>
      </c>
      <c r="Q72">
        <f t="shared" si="3"/>
        <v>13282.913450762489</v>
      </c>
      <c r="R72" s="10">
        <f t="shared" si="3"/>
        <v>1948.9179031771312</v>
      </c>
      <c r="S72" s="9">
        <f t="shared" si="3"/>
        <v>967.85548088566873</v>
      </c>
      <c r="T72">
        <f t="shared" si="3"/>
        <v>12268.773502702488</v>
      </c>
      <c r="U72">
        <f t="shared" si="3"/>
        <v>7263.8621543758454</v>
      </c>
      <c r="V72">
        <f t="shared" si="3"/>
        <v>10801.444601403018</v>
      </c>
      <c r="W72" s="10">
        <f t="shared" si="3"/>
        <v>1987.9783581692809</v>
      </c>
    </row>
    <row r="73" spans="1:23" x14ac:dyDescent="0.2">
      <c r="N73" s="9">
        <f t="shared" si="3"/>
        <v>1068.684264407661</v>
      </c>
      <c r="O73">
        <f t="shared" si="3"/>
        <v>11218.772415223779</v>
      </c>
      <c r="P73">
        <f t="shared" si="3"/>
        <v>4816.86895207217</v>
      </c>
      <c r="Q73">
        <f t="shared" si="3"/>
        <v>13187.479650331294</v>
      </c>
      <c r="R73" s="10">
        <f t="shared" si="3"/>
        <v>2292.2022145103374</v>
      </c>
      <c r="S73" s="9">
        <f t="shared" si="3"/>
        <v>1253.1771504761371</v>
      </c>
      <c r="T73">
        <f t="shared" si="3"/>
        <v>12166.634040656298</v>
      </c>
      <c r="U73">
        <f t="shared" si="3"/>
        <v>7433.5979746651328</v>
      </c>
      <c r="V73">
        <f t="shared" si="3"/>
        <v>11466.571569977707</v>
      </c>
      <c r="W73" s="10">
        <f t="shared" si="3"/>
        <v>2372.300783685444</v>
      </c>
    </row>
    <row r="74" spans="1:23" ht="16" thickBot="1" x14ac:dyDescent="0.25">
      <c r="A74" t="s">
        <v>58</v>
      </c>
      <c r="N74" s="11">
        <f t="shared" si="3"/>
        <v>1408.6637265719303</v>
      </c>
      <c r="O74" s="12">
        <f t="shared" si="3"/>
        <v>10167.598070488575</v>
      </c>
      <c r="P74" s="12">
        <f t="shared" si="3"/>
        <v>3420.7637176485177</v>
      </c>
      <c r="Q74" s="12">
        <f t="shared" si="3"/>
        <v>17398.03362210928</v>
      </c>
      <c r="R74" s="13">
        <f t="shared" si="3"/>
        <v>2358.599389786425</v>
      </c>
      <c r="S74" s="11">
        <f t="shared" si="3"/>
        <v>1190.6276820921769</v>
      </c>
      <c r="T74" s="12">
        <f t="shared" si="3"/>
        <v>10851.875127580841</v>
      </c>
      <c r="U74" s="12">
        <f t="shared" si="3"/>
        <v>7166.8206287411986</v>
      </c>
      <c r="V74" s="12">
        <f t="shared" si="3"/>
        <v>11597.114432652061</v>
      </c>
      <c r="W74" s="13">
        <f t="shared" si="3"/>
        <v>1976.5052059304171</v>
      </c>
    </row>
    <row r="75" spans="1:23" x14ac:dyDescent="0.2">
      <c r="A75" t="s">
        <v>22</v>
      </c>
      <c r="E75" t="s">
        <v>44</v>
      </c>
    </row>
    <row r="76" spans="1:23" x14ac:dyDescent="0.2">
      <c r="A76" t="s">
        <v>45</v>
      </c>
      <c r="E76">
        <v>488</v>
      </c>
      <c r="F76" t="s">
        <v>25</v>
      </c>
      <c r="N76">
        <f t="shared" ref="N76:W76" si="4">AVERAGE(N70:N74)</f>
        <v>1117.6068469880208</v>
      </c>
      <c r="O76">
        <f t="shared" si="4"/>
        <v>11101.249134458882</v>
      </c>
      <c r="P76">
        <f t="shared" si="4"/>
        <v>4830.628260424307</v>
      </c>
      <c r="Q76">
        <f t="shared" si="4"/>
        <v>13264.333090190403</v>
      </c>
      <c r="R76">
        <f t="shared" si="4"/>
        <v>2176.7559439360639</v>
      </c>
      <c r="S76">
        <f t="shared" si="4"/>
        <v>1084.1498705349632</v>
      </c>
      <c r="T76">
        <f t="shared" si="4"/>
        <v>11853.231458548067</v>
      </c>
      <c r="U76">
        <f t="shared" si="4"/>
        <v>7519.0620127483908</v>
      </c>
      <c r="V76">
        <f t="shared" si="4"/>
        <v>11035.741246768806</v>
      </c>
      <c r="W76">
        <f t="shared" si="4"/>
        <v>2174.1332735019814</v>
      </c>
    </row>
    <row r="77" spans="1:23" x14ac:dyDescent="0.2">
      <c r="A77" t="s">
        <v>46</v>
      </c>
      <c r="E77">
        <v>520</v>
      </c>
      <c r="F77" t="s">
        <v>25</v>
      </c>
    </row>
    <row r="78" spans="1:23" x14ac:dyDescent="0.2">
      <c r="A78" t="s">
        <v>47</v>
      </c>
      <c r="E78">
        <v>9</v>
      </c>
      <c r="F78" t="s">
        <v>25</v>
      </c>
      <c r="M78" t="s">
        <v>76</v>
      </c>
      <c r="N78" s="14">
        <f>N76/974</f>
        <v>1.147440294648892</v>
      </c>
      <c r="O78" s="15">
        <f>O76/10336</f>
        <v>1.0740372614608051</v>
      </c>
      <c r="P78" s="15">
        <f>P76/16798</f>
        <v>0.28757163117182444</v>
      </c>
      <c r="Q78" s="15">
        <f>Q76/40900</f>
        <v>0.32431132249854283</v>
      </c>
      <c r="R78" s="14">
        <f>R76/1809</f>
        <v>1.2032923957634405</v>
      </c>
      <c r="S78">
        <f>S76/895</f>
        <v>1.2113406374692326</v>
      </c>
      <c r="T78" s="15">
        <f>T76/10832</f>
        <v>1.0942791228349398</v>
      </c>
      <c r="U78" s="15">
        <f>U76/17626</f>
        <v>0.42658924388678038</v>
      </c>
      <c r="V78" s="15">
        <f>V76/52231</f>
        <v>0.21128719049546832</v>
      </c>
      <c r="W78">
        <f>W76/1938</f>
        <v>1.1218437943766675</v>
      </c>
    </row>
    <row r="79" spans="1:23" x14ac:dyDescent="0.2">
      <c r="A79" t="s">
        <v>48</v>
      </c>
      <c r="E79">
        <v>20</v>
      </c>
      <c r="F79" t="s">
        <v>25</v>
      </c>
      <c r="N79" s="14"/>
      <c r="O79" s="15"/>
      <c r="P79" s="15"/>
      <c r="Q79" s="15"/>
      <c r="R79" s="14"/>
      <c r="T79" s="15"/>
      <c r="U79" s="15"/>
      <c r="V79" s="15"/>
    </row>
    <row r="80" spans="1:23" x14ac:dyDescent="0.2">
      <c r="A80" t="s">
        <v>49</v>
      </c>
      <c r="E80">
        <v>80</v>
      </c>
      <c r="F80" t="s">
        <v>50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27</v>
      </c>
      <c r="E81">
        <v>25</v>
      </c>
    </row>
    <row r="82" spans="1:23" x14ac:dyDescent="0.2">
      <c r="A82" t="s">
        <v>51</v>
      </c>
      <c r="E82">
        <v>20</v>
      </c>
      <c r="F82" t="s">
        <v>52</v>
      </c>
    </row>
    <row r="83" spans="1:23" x14ac:dyDescent="0.2">
      <c r="A83" t="s">
        <v>53</v>
      </c>
      <c r="E83">
        <v>0</v>
      </c>
      <c r="F83" t="s">
        <v>52</v>
      </c>
      <c r="M83" t="s">
        <v>78</v>
      </c>
      <c r="N83">
        <v>884.30419678949022</v>
      </c>
      <c r="O83">
        <v>9467.1119959733023</v>
      </c>
      <c r="P83">
        <v>4292.0614771064074</v>
      </c>
      <c r="Q83">
        <v>3200.6581217613343</v>
      </c>
      <c r="R83">
        <v>1641.5480265932845</v>
      </c>
      <c r="S83">
        <v>1014.4985142969326</v>
      </c>
      <c r="T83">
        <v>6540.8131678551936</v>
      </c>
      <c r="U83">
        <v>3326.0919975396782</v>
      </c>
      <c r="V83">
        <v>1689.8628387652054</v>
      </c>
      <c r="W83">
        <v>1545.5791580880066</v>
      </c>
    </row>
    <row r="84" spans="1:23" x14ac:dyDescent="0.2">
      <c r="A84" t="s">
        <v>28</v>
      </c>
      <c r="E84">
        <v>0</v>
      </c>
      <c r="F84" t="s">
        <v>29</v>
      </c>
      <c r="M84" t="s">
        <v>79</v>
      </c>
      <c r="N84">
        <f>N76/N83</f>
        <v>1.2638262388050936</v>
      </c>
      <c r="O84" s="14">
        <f t="shared" ref="O84:W84" si="5">O76/O83</f>
        <v>1.1726120002785048</v>
      </c>
      <c r="P84" s="14">
        <f t="shared" si="5"/>
        <v>1.1254797458495367</v>
      </c>
      <c r="Q84" s="14">
        <f>Q76/Q83</f>
        <v>4.1442517712235354</v>
      </c>
      <c r="R84">
        <f t="shared" si="5"/>
        <v>1.3260385372053354</v>
      </c>
      <c r="S84">
        <f t="shared" si="5"/>
        <v>1.0686559470087547</v>
      </c>
      <c r="T84" s="14">
        <f t="shared" si="5"/>
        <v>1.8121953883044293</v>
      </c>
      <c r="U84" s="14">
        <f t="shared" si="5"/>
        <v>2.2606295972301029</v>
      </c>
      <c r="V84" s="14">
        <f>V76/V83</f>
        <v>6.5305544293954059</v>
      </c>
      <c r="W84">
        <f t="shared" si="5"/>
        <v>1.4066786952481565</v>
      </c>
    </row>
    <row r="85" spans="1:23" x14ac:dyDescent="0.2">
      <c r="A85" t="s">
        <v>54</v>
      </c>
      <c r="E85">
        <v>20000</v>
      </c>
      <c r="F85" t="s">
        <v>55</v>
      </c>
    </row>
    <row r="86" spans="1:23" ht="16" thickBot="1" x14ac:dyDescent="0.25">
      <c r="A86" t="s">
        <v>30</v>
      </c>
      <c r="E86" t="s">
        <v>31</v>
      </c>
      <c r="M86" t="s">
        <v>75</v>
      </c>
      <c r="N86">
        <v>1332.2986394617906</v>
      </c>
      <c r="O86">
        <v>12151.597751635452</v>
      </c>
      <c r="P86">
        <v>9983.4982568661017</v>
      </c>
      <c r="Q86">
        <v>14005.697216489109</v>
      </c>
      <c r="R86">
        <v>2266.3493807658733</v>
      </c>
      <c r="S86">
        <v>1359.7443166378155</v>
      </c>
      <c r="T86">
        <v>12702.261450492337</v>
      </c>
      <c r="U86">
        <v>11913.199206990072</v>
      </c>
      <c r="V86">
        <v>11945.967625454212</v>
      </c>
      <c r="W86">
        <v>2461.8538792303502</v>
      </c>
    </row>
    <row r="87" spans="1:23" ht="16" thickBot="1" x14ac:dyDescent="0.25">
      <c r="A87" t="s">
        <v>32</v>
      </c>
      <c r="B87" s="2" t="s">
        <v>59</v>
      </c>
      <c r="M87" t="s">
        <v>77</v>
      </c>
      <c r="N87" s="16">
        <f>N76/N86</f>
        <v>0.83885610469399041</v>
      </c>
      <c r="O87" s="17">
        <f t="shared" ref="O87:W87" si="6">O76/O86</f>
        <v>0.91356292080724877</v>
      </c>
      <c r="P87" s="17">
        <f t="shared" si="6"/>
        <v>0.48386128150040658</v>
      </c>
      <c r="Q87" s="17">
        <f t="shared" si="6"/>
        <v>0.94706696033483528</v>
      </c>
      <c r="R87" s="18">
        <f t="shared" si="6"/>
        <v>0.96046795009181996</v>
      </c>
      <c r="S87" s="16">
        <f t="shared" si="6"/>
        <v>0.7973189203803378</v>
      </c>
      <c r="T87" s="17">
        <f t="shared" si="6"/>
        <v>0.9331591468768452</v>
      </c>
      <c r="U87" s="17">
        <f t="shared" si="6"/>
        <v>0.63115388923712279</v>
      </c>
      <c r="V87" s="17">
        <f t="shared" si="6"/>
        <v>0.92380471743905324</v>
      </c>
      <c r="W87" s="18">
        <f t="shared" si="6"/>
        <v>0.88312847965683527</v>
      </c>
    </row>
    <row r="89" spans="1:23" x14ac:dyDescent="0.2">
      <c r="B89" t="s">
        <v>60</v>
      </c>
    </row>
    <row r="90" spans="1:23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36</v>
      </c>
      <c r="B91">
        <v>3296</v>
      </c>
      <c r="C91">
        <v>13848</v>
      </c>
      <c r="D91">
        <v>5894</v>
      </c>
      <c r="E91">
        <v>6240</v>
      </c>
      <c r="F91">
        <v>4115</v>
      </c>
      <c r="G91">
        <v>3277</v>
      </c>
      <c r="H91">
        <v>15369</v>
      </c>
      <c r="I91">
        <v>10515</v>
      </c>
      <c r="J91">
        <v>10801</v>
      </c>
      <c r="K91">
        <v>3956</v>
      </c>
      <c r="L91">
        <v>2246</v>
      </c>
      <c r="N91">
        <f>B91-2257</f>
        <v>1039</v>
      </c>
      <c r="O91">
        <f t="shared" ref="O91:O95" si="7">C91-2257</f>
        <v>11591</v>
      </c>
      <c r="P91">
        <f>D91-2257</f>
        <v>3637</v>
      </c>
      <c r="Q91">
        <f t="shared" ref="Q91:Q95" si="8">E91-2257</f>
        <v>3983</v>
      </c>
      <c r="R91">
        <f t="shared" ref="R91:R95" si="9">F91-2257</f>
        <v>1858</v>
      </c>
      <c r="S91">
        <f t="shared" ref="S91:S95" si="10">G91-2257</f>
        <v>1020</v>
      </c>
      <c r="T91">
        <f t="shared" ref="T91:T95" si="11">H91-2257</f>
        <v>13112</v>
      </c>
      <c r="U91">
        <f t="shared" ref="U91:U95" si="12">I91-2257</f>
        <v>8258</v>
      </c>
      <c r="V91">
        <f t="shared" ref="V91:V95" si="13">J91-2257</f>
        <v>8544</v>
      </c>
      <c r="W91">
        <f t="shared" ref="W91:W95" si="14">K91-2257</f>
        <v>1699</v>
      </c>
    </row>
    <row r="92" spans="1:23" x14ac:dyDescent="0.2">
      <c r="A92" s="4" t="s">
        <v>37</v>
      </c>
      <c r="B92">
        <v>3221</v>
      </c>
      <c r="C92">
        <v>12932</v>
      </c>
      <c r="D92">
        <v>8551</v>
      </c>
      <c r="E92">
        <v>15822</v>
      </c>
      <c r="F92">
        <v>3664</v>
      </c>
      <c r="G92">
        <v>3018</v>
      </c>
      <c r="H92">
        <v>12131</v>
      </c>
      <c r="I92">
        <v>10308</v>
      </c>
      <c r="J92">
        <v>9408</v>
      </c>
      <c r="K92">
        <v>4067</v>
      </c>
      <c r="L92">
        <v>2276</v>
      </c>
      <c r="N92">
        <f t="shared" ref="N92:N95" si="15">B92-2257</f>
        <v>964</v>
      </c>
      <c r="O92">
        <f t="shared" si="7"/>
        <v>10675</v>
      </c>
      <c r="P92">
        <f t="shared" ref="P91:P95" si="16">D92-2257</f>
        <v>6294</v>
      </c>
      <c r="Q92">
        <f t="shared" si="8"/>
        <v>13565</v>
      </c>
      <c r="R92">
        <f t="shared" si="9"/>
        <v>1407</v>
      </c>
      <c r="S92">
        <f t="shared" si="10"/>
        <v>761</v>
      </c>
      <c r="T92">
        <f t="shared" si="11"/>
        <v>9874</v>
      </c>
      <c r="U92">
        <f t="shared" si="12"/>
        <v>8051</v>
      </c>
      <c r="V92">
        <f t="shared" si="13"/>
        <v>7151</v>
      </c>
      <c r="W92">
        <f t="shared" si="14"/>
        <v>1810</v>
      </c>
    </row>
    <row r="93" spans="1:23" x14ac:dyDescent="0.2">
      <c r="A93" s="4" t="s">
        <v>38</v>
      </c>
      <c r="B93">
        <v>3131</v>
      </c>
      <c r="C93">
        <v>11831</v>
      </c>
      <c r="D93">
        <v>6097</v>
      </c>
      <c r="E93">
        <v>13234</v>
      </c>
      <c r="F93">
        <v>3806</v>
      </c>
      <c r="G93">
        <v>3082</v>
      </c>
      <c r="H93">
        <v>13824</v>
      </c>
      <c r="I93">
        <v>8663</v>
      </c>
      <c r="J93">
        <v>10330</v>
      </c>
      <c r="K93">
        <v>3613</v>
      </c>
      <c r="L93">
        <v>2249</v>
      </c>
      <c r="N93">
        <f t="shared" si="15"/>
        <v>874</v>
      </c>
      <c r="O93">
        <f t="shared" si="7"/>
        <v>9574</v>
      </c>
      <c r="P93">
        <f t="shared" si="16"/>
        <v>3840</v>
      </c>
      <c r="Q93">
        <f t="shared" si="8"/>
        <v>10977</v>
      </c>
      <c r="R93">
        <f t="shared" si="9"/>
        <v>1549</v>
      </c>
      <c r="S93">
        <f t="shared" si="10"/>
        <v>825</v>
      </c>
      <c r="T93">
        <f t="shared" si="11"/>
        <v>11567</v>
      </c>
      <c r="U93">
        <f t="shared" si="12"/>
        <v>6406</v>
      </c>
      <c r="V93">
        <f t="shared" si="13"/>
        <v>8073</v>
      </c>
      <c r="W93">
        <f t="shared" si="14"/>
        <v>1356</v>
      </c>
    </row>
    <row r="94" spans="1:23" x14ac:dyDescent="0.2">
      <c r="A94" s="4" t="s">
        <v>39</v>
      </c>
      <c r="B94">
        <v>3161</v>
      </c>
      <c r="C94">
        <v>11508</v>
      </c>
      <c r="D94">
        <v>6860</v>
      </c>
      <c r="E94">
        <v>14222</v>
      </c>
      <c r="F94">
        <v>3862</v>
      </c>
      <c r="G94">
        <v>3391</v>
      </c>
      <c r="H94">
        <v>14465</v>
      </c>
      <c r="I94">
        <v>8806</v>
      </c>
      <c r="J94">
        <v>11913</v>
      </c>
      <c r="K94">
        <v>3850</v>
      </c>
      <c r="L94">
        <v>195</v>
      </c>
      <c r="N94">
        <f t="shared" si="15"/>
        <v>904</v>
      </c>
      <c r="O94">
        <f t="shared" si="7"/>
        <v>9251</v>
      </c>
      <c r="P94">
        <f t="shared" si="16"/>
        <v>4603</v>
      </c>
      <c r="Q94">
        <f t="shared" si="8"/>
        <v>11965</v>
      </c>
      <c r="R94">
        <f t="shared" si="9"/>
        <v>1605</v>
      </c>
      <c r="S94">
        <f t="shared" si="10"/>
        <v>1134</v>
      </c>
      <c r="T94">
        <f t="shared" si="11"/>
        <v>12208</v>
      </c>
      <c r="U94">
        <f t="shared" si="12"/>
        <v>6549</v>
      </c>
      <c r="V94">
        <f t="shared" si="13"/>
        <v>9656</v>
      </c>
      <c r="W94">
        <f t="shared" si="14"/>
        <v>1593</v>
      </c>
    </row>
    <row r="95" spans="1:23" x14ac:dyDescent="0.2">
      <c r="A95" s="4" t="s">
        <v>40</v>
      </c>
      <c r="B95">
        <v>3561</v>
      </c>
      <c r="C95">
        <v>11175</v>
      </c>
      <c r="D95">
        <v>5374</v>
      </c>
      <c r="E95">
        <v>14286</v>
      </c>
      <c r="F95">
        <v>4096</v>
      </c>
      <c r="G95">
        <v>3380</v>
      </c>
      <c r="H95">
        <v>10792</v>
      </c>
      <c r="I95">
        <v>9221</v>
      </c>
      <c r="J95">
        <v>10455</v>
      </c>
      <c r="K95">
        <v>3603</v>
      </c>
      <c r="L95">
        <v>191</v>
      </c>
      <c r="N95">
        <f t="shared" si="15"/>
        <v>1304</v>
      </c>
      <c r="O95">
        <f t="shared" si="7"/>
        <v>8918</v>
      </c>
      <c r="P95">
        <f t="shared" si="16"/>
        <v>3117</v>
      </c>
      <c r="Q95">
        <f t="shared" si="8"/>
        <v>12029</v>
      </c>
      <c r="R95">
        <f t="shared" si="9"/>
        <v>1839</v>
      </c>
      <c r="S95">
        <f t="shared" si="10"/>
        <v>1123</v>
      </c>
      <c r="T95">
        <f t="shared" si="11"/>
        <v>8535</v>
      </c>
      <c r="U95">
        <f t="shared" si="12"/>
        <v>6964</v>
      </c>
      <c r="V95">
        <f t="shared" si="13"/>
        <v>8198</v>
      </c>
      <c r="W95">
        <f t="shared" si="14"/>
        <v>1346</v>
      </c>
    </row>
    <row r="97" spans="1:12" x14ac:dyDescent="0.2">
      <c r="L97">
        <f>AVERAGE(L91:L93)</f>
        <v>2257</v>
      </c>
    </row>
    <row r="100" spans="1:12" x14ac:dyDescent="0.2">
      <c r="A100" t="s">
        <v>41</v>
      </c>
      <c r="B100" s="2" t="s">
        <v>61</v>
      </c>
    </row>
    <row r="105" spans="1:12" x14ac:dyDescent="0.2">
      <c r="A105" t="s">
        <v>62</v>
      </c>
    </row>
    <row r="106" spans="1:12" x14ac:dyDescent="0.2">
      <c r="A106" t="s">
        <v>22</v>
      </c>
      <c r="E106" t="s">
        <v>44</v>
      </c>
    </row>
    <row r="107" spans="1:12" x14ac:dyDescent="0.2">
      <c r="A107" t="s">
        <v>45</v>
      </c>
      <c r="E107">
        <v>488</v>
      </c>
      <c r="F107" t="s">
        <v>25</v>
      </c>
    </row>
    <row r="108" spans="1:12" x14ac:dyDescent="0.2">
      <c r="A108" t="s">
        <v>46</v>
      </c>
      <c r="E108">
        <v>520</v>
      </c>
      <c r="F108" t="s">
        <v>25</v>
      </c>
    </row>
    <row r="109" spans="1:12" x14ac:dyDescent="0.2">
      <c r="A109" t="s">
        <v>47</v>
      </c>
      <c r="E109">
        <v>9</v>
      </c>
      <c r="F109" t="s">
        <v>25</v>
      </c>
    </row>
    <row r="110" spans="1:12" x14ac:dyDescent="0.2">
      <c r="A110" t="s">
        <v>48</v>
      </c>
      <c r="E110">
        <v>20</v>
      </c>
      <c r="F110" t="s">
        <v>25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27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63</v>
      </c>
    </row>
    <row r="120" spans="1:12" x14ac:dyDescent="0.2">
      <c r="B120" t="s">
        <v>34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15874</v>
      </c>
      <c r="C122" s="5" t="s">
        <v>64</v>
      </c>
      <c r="D122">
        <v>37227</v>
      </c>
      <c r="E122">
        <v>30102</v>
      </c>
      <c r="F122">
        <v>19884</v>
      </c>
      <c r="G122">
        <v>15804</v>
      </c>
      <c r="H122" s="5" t="s">
        <v>64</v>
      </c>
      <c r="I122">
        <v>50519</v>
      </c>
      <c r="J122">
        <v>51501</v>
      </c>
      <c r="K122">
        <v>19053</v>
      </c>
      <c r="L122">
        <v>10858</v>
      </c>
    </row>
    <row r="123" spans="1:12" x14ac:dyDescent="0.2">
      <c r="A123" s="4" t="s">
        <v>37</v>
      </c>
      <c r="B123">
        <v>15455</v>
      </c>
      <c r="C123">
        <v>61457</v>
      </c>
      <c r="D123">
        <v>38924</v>
      </c>
      <c r="E123" s="5" t="s">
        <v>64</v>
      </c>
      <c r="F123">
        <v>17662</v>
      </c>
      <c r="G123">
        <v>14508</v>
      </c>
      <c r="H123">
        <v>57471</v>
      </c>
      <c r="I123">
        <v>49129</v>
      </c>
      <c r="J123">
        <v>45013</v>
      </c>
      <c r="K123">
        <v>19540</v>
      </c>
      <c r="L123">
        <v>11028</v>
      </c>
    </row>
    <row r="124" spans="1:12" x14ac:dyDescent="0.2">
      <c r="A124" s="4" t="s">
        <v>38</v>
      </c>
      <c r="B124">
        <v>15107</v>
      </c>
      <c r="C124">
        <v>56182</v>
      </c>
      <c r="D124">
        <v>43808</v>
      </c>
      <c r="E124">
        <v>62928</v>
      </c>
      <c r="F124">
        <v>18334</v>
      </c>
      <c r="G124">
        <v>14997</v>
      </c>
      <c r="H124" s="5" t="s">
        <v>64</v>
      </c>
      <c r="I124">
        <v>41529</v>
      </c>
      <c r="J124">
        <v>49402</v>
      </c>
      <c r="K124">
        <v>17509</v>
      </c>
      <c r="L124">
        <v>10812</v>
      </c>
    </row>
    <row r="125" spans="1:12" x14ac:dyDescent="0.2">
      <c r="A125" s="4" t="s">
        <v>39</v>
      </c>
      <c r="B125">
        <v>15348</v>
      </c>
      <c r="C125">
        <v>54989</v>
      </c>
      <c r="D125">
        <v>34407</v>
      </c>
      <c r="E125" s="5" t="s">
        <v>64</v>
      </c>
      <c r="F125">
        <v>18675</v>
      </c>
      <c r="G125">
        <v>16434</v>
      </c>
      <c r="H125" s="5" t="s">
        <v>64</v>
      </c>
      <c r="I125">
        <v>42373</v>
      </c>
      <c r="J125">
        <v>56815</v>
      </c>
      <c r="K125">
        <v>18610</v>
      </c>
      <c r="L125">
        <v>924</v>
      </c>
    </row>
    <row r="126" spans="1:12" x14ac:dyDescent="0.2">
      <c r="A126" s="4" t="s">
        <v>40</v>
      </c>
      <c r="B126">
        <v>17111</v>
      </c>
      <c r="C126">
        <v>53409</v>
      </c>
      <c r="D126">
        <v>33191</v>
      </c>
      <c r="E126" s="5" t="s">
        <v>64</v>
      </c>
      <c r="F126">
        <v>19704</v>
      </c>
      <c r="G126">
        <v>16350</v>
      </c>
      <c r="H126">
        <v>51633</v>
      </c>
      <c r="I126">
        <v>44177</v>
      </c>
      <c r="J126">
        <v>49999</v>
      </c>
      <c r="K126">
        <v>17304</v>
      </c>
      <c r="L126">
        <v>932</v>
      </c>
    </row>
    <row r="131" spans="1:2" x14ac:dyDescent="0.2">
      <c r="A131" t="s">
        <v>41</v>
      </c>
      <c r="B131" s="2" t="s">
        <v>65</v>
      </c>
    </row>
  </sheetData>
  <mergeCells count="4">
    <mergeCell ref="N67:Q67"/>
    <mergeCell ref="S67:V67"/>
    <mergeCell ref="N68:R68"/>
    <mergeCell ref="S68:W68"/>
  </mergeCells>
  <conditionalFormatting sqref="N70:W7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2025-09-24T21:24:07Z</dcterms:created>
  <dcterms:modified xsi:type="dcterms:W3CDTF">2025-10-25T03:22:48Z</dcterms:modified>
</cp:coreProperties>
</file>