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filterPrivacy="1" defaultThemeVersion="124226"/>
  <xr:revisionPtr revIDLastSave="0" documentId="13_ncr:1_{30C1E9CD-7FA2-A240-9198-0E2F62098DB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et10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7" i="3" l="1"/>
  <c r="W95" i="3"/>
  <c r="V95" i="3"/>
  <c r="U95" i="3"/>
  <c r="T95" i="3"/>
  <c r="S95" i="3"/>
  <c r="R95" i="3"/>
  <c r="Q95" i="3"/>
  <c r="P95" i="3"/>
  <c r="O95" i="3"/>
  <c r="W94" i="3"/>
  <c r="V94" i="3"/>
  <c r="U94" i="3"/>
  <c r="T94" i="3"/>
  <c r="S94" i="3"/>
  <c r="S73" i="3" s="1"/>
  <c r="R94" i="3"/>
  <c r="R73" i="3" s="1"/>
  <c r="Q94" i="3"/>
  <c r="Q73" i="3" s="1"/>
  <c r="P94" i="3"/>
  <c r="O94" i="3"/>
  <c r="W93" i="3"/>
  <c r="V93" i="3"/>
  <c r="U93" i="3"/>
  <c r="U72" i="3" s="1"/>
  <c r="T93" i="3"/>
  <c r="T72" i="3" s="1"/>
  <c r="S93" i="3"/>
  <c r="S72" i="3" s="1"/>
  <c r="R93" i="3"/>
  <c r="R72" i="3" s="1"/>
  <c r="Q93" i="3"/>
  <c r="Q72" i="3" s="1"/>
  <c r="P93" i="3"/>
  <c r="P72" i="3" s="1"/>
  <c r="O93" i="3"/>
  <c r="O72" i="3" s="1"/>
  <c r="W92" i="3"/>
  <c r="W71" i="3" s="1"/>
  <c r="W76" i="3" s="1"/>
  <c r="W87" i="3" s="1"/>
  <c r="V92" i="3"/>
  <c r="V71" i="3" s="1"/>
  <c r="V76" i="3" s="1"/>
  <c r="V87" i="3" s="1"/>
  <c r="U92" i="3"/>
  <c r="U71" i="3" s="1"/>
  <c r="T92" i="3"/>
  <c r="T71" i="3" s="1"/>
  <c r="S92" i="3"/>
  <c r="S71" i="3" s="1"/>
  <c r="R92" i="3"/>
  <c r="Q92" i="3"/>
  <c r="P92" i="3"/>
  <c r="O92" i="3"/>
  <c r="O71" i="3" s="1"/>
  <c r="W91" i="3"/>
  <c r="W70" i="3" s="1"/>
  <c r="V91" i="3"/>
  <c r="V70" i="3" s="1"/>
  <c r="U91" i="3"/>
  <c r="U70" i="3" s="1"/>
  <c r="T91" i="3"/>
  <c r="T70" i="3" s="1"/>
  <c r="S91" i="3"/>
  <c r="R91" i="3"/>
  <c r="R70" i="3" s="1"/>
  <c r="Q91" i="3"/>
  <c r="Q70" i="3" s="1"/>
  <c r="P91" i="3"/>
  <c r="P70" i="3" s="1"/>
  <c r="P76" i="3" s="1"/>
  <c r="P87" i="3" s="1"/>
  <c r="O91" i="3"/>
  <c r="O70" i="3" s="1"/>
  <c r="O76" i="3" s="1"/>
  <c r="O87" i="3" s="1"/>
  <c r="N95" i="3"/>
  <c r="N94" i="3"/>
  <c r="N93" i="3"/>
  <c r="N92" i="3"/>
  <c r="N71" i="3" s="1"/>
  <c r="N91" i="3"/>
  <c r="V74" i="3"/>
  <c r="T74" i="3"/>
  <c r="S74" i="3"/>
  <c r="R74" i="3"/>
  <c r="Q74" i="3"/>
  <c r="P74" i="3"/>
  <c r="O74" i="3"/>
  <c r="W73" i="3"/>
  <c r="V73" i="3"/>
  <c r="U73" i="3"/>
  <c r="T73" i="3"/>
  <c r="S70" i="3"/>
  <c r="W74" i="3"/>
  <c r="U74" i="3"/>
  <c r="N74" i="3"/>
  <c r="P73" i="3"/>
  <c r="O73" i="3"/>
  <c r="N73" i="3"/>
  <c r="W72" i="3"/>
  <c r="V72" i="3"/>
  <c r="N72" i="3"/>
  <c r="R71" i="3"/>
  <c r="Q71" i="3"/>
  <c r="P71" i="3"/>
  <c r="N70" i="3"/>
  <c r="W33" i="3"/>
  <c r="V33" i="3"/>
  <c r="U33" i="3"/>
  <c r="T33" i="3"/>
  <c r="S33" i="3"/>
  <c r="R33" i="3"/>
  <c r="Q33" i="3"/>
  <c r="P33" i="3"/>
  <c r="O33" i="3"/>
  <c r="W32" i="3"/>
  <c r="V32" i="3"/>
  <c r="U32" i="3"/>
  <c r="T32" i="3"/>
  <c r="S32" i="3"/>
  <c r="R32" i="3"/>
  <c r="Q32" i="3"/>
  <c r="P32" i="3"/>
  <c r="O32" i="3"/>
  <c r="W31" i="3"/>
  <c r="V31" i="3"/>
  <c r="U31" i="3"/>
  <c r="T31" i="3"/>
  <c r="S31" i="3"/>
  <c r="R31" i="3"/>
  <c r="Q31" i="3"/>
  <c r="P31" i="3"/>
  <c r="O31" i="3"/>
  <c r="W30" i="3"/>
  <c r="V30" i="3"/>
  <c r="U30" i="3"/>
  <c r="T30" i="3"/>
  <c r="S30" i="3"/>
  <c r="R30" i="3"/>
  <c r="Q30" i="3"/>
  <c r="P30" i="3"/>
  <c r="O30" i="3"/>
  <c r="W29" i="3"/>
  <c r="V29" i="3"/>
  <c r="U29" i="3"/>
  <c r="T29" i="3"/>
  <c r="S29" i="3"/>
  <c r="R29" i="3"/>
  <c r="Q29" i="3"/>
  <c r="P29" i="3"/>
  <c r="O29" i="3"/>
  <c r="N33" i="3"/>
  <c r="N32" i="3"/>
  <c r="N31" i="3"/>
  <c r="N30" i="3"/>
  <c r="N29" i="3"/>
  <c r="L35" i="3"/>
  <c r="Q76" i="3" l="1"/>
  <c r="Q87" i="3" s="1"/>
  <c r="S76" i="3"/>
  <c r="U76" i="3"/>
  <c r="R76" i="3"/>
  <c r="R87" i="3" s="1"/>
  <c r="T76" i="3"/>
  <c r="N76" i="3"/>
  <c r="P78" i="3"/>
  <c r="P84" i="3"/>
  <c r="V84" i="3"/>
  <c r="V78" i="3"/>
  <c r="Q78" i="3"/>
  <c r="Q84" i="3"/>
  <c r="W84" i="3"/>
  <c r="W78" i="3"/>
  <c r="R78" i="3"/>
  <c r="R84" i="3"/>
  <c r="O78" i="3"/>
  <c r="O84" i="3"/>
  <c r="T78" i="3" l="1"/>
  <c r="T87" i="3"/>
  <c r="U78" i="3"/>
  <c r="U87" i="3"/>
  <c r="S84" i="3"/>
  <c r="S87" i="3"/>
  <c r="U84" i="3"/>
  <c r="N78" i="3"/>
  <c r="N87" i="3"/>
  <c r="S78" i="3"/>
  <c r="N84" i="3"/>
  <c r="T8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EHC, V_5.23_05/17_InfiniteRX (May  9 2017/12.19.53)
MTP, V_5.23_05/17_InfiniteRX (May  9 2017/12.19.53)
HCP, V_5.23_05/17_InfiniteRX (May  9 2017/12.19.53)
MEM, V_3.00_09/11_MCR (Sep 27 2011/15.05.45)
MEX, V_3.00_09/11_MCR (Sep 27 2011/15.05.10)
ZSCAN, V_5.23_05/17_InfiniteRX (May  9 2017/12.19.53)
</t>
        </r>
      </text>
    </comment>
  </commentList>
</comments>
</file>

<file path=xl/sharedStrings.xml><?xml version="1.0" encoding="utf-8"?>
<sst xmlns="http://schemas.openxmlformats.org/spreadsheetml/2006/main" count="170" uniqueCount="78">
  <si>
    <t>Application: Tecan i-control</t>
  </si>
  <si>
    <t>Tecan i-control , 2.0.10.0</t>
  </si>
  <si>
    <t>Device: infinite 200Pro</t>
  </si>
  <si>
    <t>Serial number: 1705009483</t>
  </si>
  <si>
    <t>Serial number of connected stacker:</t>
  </si>
  <si>
    <t>Firmware: V_5.23_05/17_InfiniteRX (May  9 2017/12.19.53)</t>
  </si>
  <si>
    <t>MAI, V_5.23_05/17_InfiniteRX (May  9 2017/12.19.53)</t>
  </si>
  <si>
    <t>Date:</t>
  </si>
  <si>
    <t>Time:</t>
  </si>
  <si>
    <t>System</t>
  </si>
  <si>
    <t>TECAN-HP</t>
  </si>
  <si>
    <t>User</t>
  </si>
  <si>
    <t>Tecan-HP\Tecan</t>
  </si>
  <si>
    <t>Plate</t>
  </si>
  <si>
    <t>Corning 96 Flat Bottom Black Polystyrene Cat. No.: 3631 [COR96fb clear bottom.pdfx]</t>
  </si>
  <si>
    <t>Plate-ID (Stacker)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</si>
  <si>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</si>
  <si>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</si>
  <si>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</si>
  <si>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</si>
  <si>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</si>
  <si>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</si>
  <si>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</si>
  <si>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</si>
  <si>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</si>
  <si>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</si>
  <si>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</si>
  <si>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</si>
  <si>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</si>
  <si>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</si>
  <si>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B2-F12</t>
  </si>
  <si>
    <t>Start Time:</t>
  </si>
  <si>
    <t>Temperature: 26.9 °C</t>
  </si>
  <si>
    <t>&lt;&gt;</t>
  </si>
  <si>
    <t>B</t>
  </si>
  <si>
    <t>C</t>
  </si>
  <si>
    <t>D</t>
  </si>
  <si>
    <t>E</t>
  </si>
  <si>
    <t>F</t>
  </si>
  <si>
    <t>End Time:</t>
  </si>
  <si>
    <t>4:34:55 PM</t>
  </si>
  <si>
    <t>9/20/2025 4:35:00 PM</t>
  </si>
  <si>
    <t>9/20/2025 4:35:26 PM</t>
  </si>
  <si>
    <t>Label: gfp50</t>
  </si>
  <si>
    <t>Fluorescence Top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</si>
  <si>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</si>
  <si>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</si>
  <si>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</si>
  <si>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</si>
  <si>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</si>
  <si>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</si>
  <si>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</si>
  <si>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</si>
  <si>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</si>
  <si>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Z-Position (Manual)</t>
  </si>
  <si>
    <t>µm</t>
  </si>
  <si>
    <t>9/20/2025 4:35:31 PM</t>
  </si>
  <si>
    <t>9/20/2025 4:36:19 PM</t>
  </si>
  <si>
    <t>Label: gfp 80</t>
  </si>
  <si>
    <t>9/20/2025 4:36:26 PM</t>
  </si>
  <si>
    <t>9/20/2025 4:37:15 PM</t>
  </si>
  <si>
    <t>Label: gfp100</t>
  </si>
  <si>
    <t>9/20/2025 4:37:22 PM</t>
  </si>
  <si>
    <t>9/20/2025 4:38:10 PM</t>
  </si>
  <si>
    <t>T-TE+</t>
  </si>
  <si>
    <t>T+TE+</t>
  </si>
  <si>
    <t>Kan+</t>
  </si>
  <si>
    <t>Kan-</t>
  </si>
  <si>
    <t>p15A</t>
  </si>
  <si>
    <t>pBR</t>
  </si>
  <si>
    <t>CloDF</t>
  </si>
  <si>
    <t>pUC</t>
  </si>
  <si>
    <t>p15A,++</t>
  </si>
  <si>
    <t>D5</t>
  </si>
  <si>
    <t>D9/D5</t>
  </si>
  <si>
    <t>D9/D1</t>
  </si>
  <si>
    <t>D7</t>
  </si>
  <si>
    <t>D9/D7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</si>
</sst>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7030A0"/>
      <name val="Calibri"/>
      <family val="2"/>
      <scheme val="minor"/>
    </font>
    <font>
      <sz val="11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9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/>
    <xf numFmtId="0" fontId="5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center" vertical="center"/>
    </xf>
  </cellXfs>
  <cellStyles count="8">
    <cellStyle name="Normal" xfId="0" builtinId="0"/>
    <cellStyle name="Tecan.At.Excel.Attenuation" xfId="6" xr:uid="{00000000-0005-0000-0000-000001000000}"/>
    <cellStyle name="Tecan.At.Excel.AutoGain_0" xfId="7" xr:uid="{00000000-0005-0000-0000-000002000000}"/>
    <cellStyle name="Tecan.At.Excel.Error" xfId="1" xr:uid="{00000000-0005-0000-0000-000003000000}"/>
    <cellStyle name="Tecan.At.Excel.GFactorAndMeasurementBlank" xfId="5" xr:uid="{00000000-0005-0000-0000-000004000000}"/>
    <cellStyle name="Tecan.At.Excel.GFactorBlank" xfId="3" xr:uid="{00000000-0005-0000-0000-000005000000}"/>
    <cellStyle name="Tecan.At.Excel.GFactorReference" xfId="4" xr:uid="{00000000-0005-0000-0000-000006000000}"/>
    <cellStyle name="Tecan.At.Excel.MeasurementBlank" xfId="2" xr:uid="{00000000-0005-0000-0000-000007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1"/>
  <sheetViews>
    <sheetView tabSelected="1" topLeftCell="A67" workbookViewId="0">
      <selection activeCell="O102" sqref="O102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45920</v>
      </c>
    </row>
    <row r="6" spans="1:12" x14ac:dyDescent="0.2">
      <c r="A6" t="s">
        <v>8</v>
      </c>
      <c r="B6" s="2" t="s">
        <v>40</v>
      </c>
    </row>
    <row r="9" spans="1:12" x14ac:dyDescent="0.2">
      <c r="A9" t="s">
        <v>9</v>
      </c>
      <c r="E9" t="s">
        <v>10</v>
      </c>
    </row>
    <row r="10" spans="1:12" x14ac:dyDescent="0.2">
      <c r="A10" t="s">
        <v>11</v>
      </c>
      <c r="E10" t="s">
        <v>12</v>
      </c>
    </row>
    <row r="11" spans="1:12" x14ac:dyDescent="0.2">
      <c r="A11" t="s">
        <v>13</v>
      </c>
      <c r="E11" t="s">
        <v>14</v>
      </c>
    </row>
    <row r="12" spans="1:12" x14ac:dyDescent="0.2">
      <c r="A12" t="s">
        <v>15</v>
      </c>
    </row>
    <row r="14" spans="1:12" x14ac:dyDescent="0.2">
      <c r="A14" s="3" t="s">
        <v>16</v>
      </c>
      <c r="B14" s="3"/>
      <c r="C14" s="3"/>
      <c r="D14" s="3"/>
      <c r="E14" s="3">
        <v>5</v>
      </c>
      <c r="F14" s="3" t="s">
        <v>17</v>
      </c>
      <c r="G14" s="3"/>
      <c r="H14" s="3"/>
      <c r="I14" s="3"/>
      <c r="J14" s="3"/>
      <c r="K14" s="3"/>
      <c r="L14" s="3"/>
    </row>
    <row r="15" spans="1:12" x14ac:dyDescent="0.2">
      <c r="A15" s="3" t="s">
        <v>18</v>
      </c>
      <c r="B15" s="3"/>
      <c r="C15" s="3"/>
      <c r="D15" s="3"/>
      <c r="E15" s="3">
        <v>2</v>
      </c>
      <c r="F15" s="3" t="s">
        <v>19</v>
      </c>
      <c r="G15" s="3"/>
      <c r="H15" s="3"/>
      <c r="I15" s="3"/>
      <c r="J15" s="3"/>
      <c r="K15" s="3"/>
      <c r="L15" s="3"/>
    </row>
    <row r="18" spans="1:23" x14ac:dyDescent="0.2">
      <c r="A18" t="s">
        <v>20</v>
      </c>
    </row>
    <row r="19" spans="1:23" x14ac:dyDescent="0.2">
      <c r="A19" t="s">
        <v>21</v>
      </c>
      <c r="E19" t="s">
        <v>22</v>
      </c>
    </row>
    <row r="20" spans="1:23" x14ac:dyDescent="0.2">
      <c r="A20" t="s">
        <v>23</v>
      </c>
      <c r="E20">
        <v>600</v>
      </c>
      <c r="F20" t="s">
        <v>24</v>
      </c>
    </row>
    <row r="21" spans="1:23" x14ac:dyDescent="0.2">
      <c r="A21" t="s">
        <v>25</v>
      </c>
      <c r="E21">
        <v>9</v>
      </c>
      <c r="F21" t="s">
        <v>24</v>
      </c>
    </row>
    <row r="22" spans="1:23" x14ac:dyDescent="0.2">
      <c r="A22" t="s">
        <v>26</v>
      </c>
      <c r="E22">
        <v>10</v>
      </c>
    </row>
    <row r="23" spans="1:23" x14ac:dyDescent="0.2">
      <c r="A23" t="s">
        <v>27</v>
      </c>
      <c r="E23">
        <v>0</v>
      </c>
      <c r="F23" t="s">
        <v>28</v>
      </c>
    </row>
    <row r="24" spans="1:23" x14ac:dyDescent="0.2">
      <c r="A24" t="s">
        <v>29</v>
      </c>
      <c r="E24" t="s">
        <v>30</v>
      </c>
    </row>
    <row r="25" spans="1:23" x14ac:dyDescent="0.2">
      <c r="A25" t="s">
        <v>31</v>
      </c>
      <c r="B25" s="2" t="s">
        <v>41</v>
      </c>
    </row>
    <row r="27" spans="1:23" x14ac:dyDescent="0.2">
      <c r="B27" t="s">
        <v>32</v>
      </c>
    </row>
    <row r="28" spans="1:23" x14ac:dyDescent="0.2">
      <c r="A28" s="4" t="s">
        <v>33</v>
      </c>
      <c r="B28" s="4">
        <v>2</v>
      </c>
      <c r="C28" s="4">
        <v>3</v>
      </c>
      <c r="D28" s="4">
        <v>4</v>
      </c>
      <c r="E28" s="4">
        <v>5</v>
      </c>
      <c r="F28" s="4">
        <v>6</v>
      </c>
      <c r="G28" s="4">
        <v>7</v>
      </c>
      <c r="H28" s="4">
        <v>8</v>
      </c>
      <c r="I28" s="4">
        <v>9</v>
      </c>
      <c r="J28" s="4">
        <v>10</v>
      </c>
      <c r="K28" s="4">
        <v>11</v>
      </c>
      <c r="L28" s="4">
        <v>12</v>
      </c>
    </row>
    <row r="29" spans="1:23" x14ac:dyDescent="0.2">
      <c r="A29" s="4" t="s">
        <v>34</v>
      </c>
      <c r="B29">
        <v>1.0180000066757202</v>
      </c>
      <c r="C29">
        <v>1.0494999885559082</v>
      </c>
      <c r="D29">
        <v>1.0378999710083008</v>
      </c>
      <c r="E29">
        <v>1.1168999671936035</v>
      </c>
      <c r="F29">
        <v>1.1591999530792236</v>
      </c>
      <c r="G29">
        <v>1.1511000394821167</v>
      </c>
      <c r="H29">
        <v>1.1441999673843384</v>
      </c>
      <c r="I29">
        <v>0.85500001907348633</v>
      </c>
      <c r="J29">
        <v>1.0757999420166016</v>
      </c>
      <c r="K29">
        <v>1.121399998664856</v>
      </c>
      <c r="L29">
        <v>4.2899999767541885E-2</v>
      </c>
      <c r="N29">
        <f>B29-0.043</f>
        <v>0.97500000667572018</v>
      </c>
      <c r="O29">
        <f t="shared" ref="O29:O33" si="0">C29-0.043</f>
        <v>1.0064999885559083</v>
      </c>
      <c r="P29">
        <f t="shared" ref="P29:P33" si="1">D29-0.043</f>
        <v>0.99489997100830074</v>
      </c>
      <c r="Q29">
        <f t="shared" ref="Q29:Q33" si="2">E29-0.043</f>
        <v>1.0738999671936036</v>
      </c>
      <c r="R29">
        <f t="shared" ref="R29:R33" si="3">F29-0.043</f>
        <v>1.1161999530792237</v>
      </c>
      <c r="S29">
        <f t="shared" ref="S29:S33" si="4">G29-0.043</f>
        <v>1.1081000394821168</v>
      </c>
      <c r="T29">
        <f t="shared" ref="T29:T33" si="5">H29-0.043</f>
        <v>1.1011999673843385</v>
      </c>
      <c r="U29">
        <f t="shared" ref="U29:U33" si="6">I29-0.043</f>
        <v>0.81200001907348629</v>
      </c>
      <c r="V29">
        <f t="shared" ref="V29:V33" si="7">J29-0.043</f>
        <v>1.0327999420166016</v>
      </c>
      <c r="W29">
        <f t="shared" ref="W29:W33" si="8">K29-0.043</f>
        <v>1.078399998664856</v>
      </c>
    </row>
    <row r="30" spans="1:23" x14ac:dyDescent="0.2">
      <c r="A30" s="4" t="s">
        <v>35</v>
      </c>
      <c r="B30">
        <v>1.1406999826431274</v>
      </c>
      <c r="C30">
        <v>1.1583000421524048</v>
      </c>
      <c r="D30">
        <v>1.0853999853134155</v>
      </c>
      <c r="E30">
        <v>0.79240000247955322</v>
      </c>
      <c r="F30">
        <v>1.1559000015258789</v>
      </c>
      <c r="G30">
        <v>1.1019999980926514</v>
      </c>
      <c r="H30">
        <v>1.1241999864578247</v>
      </c>
      <c r="I30">
        <v>1.1644999980926514</v>
      </c>
      <c r="J30">
        <v>1.1087000370025635</v>
      </c>
      <c r="K30">
        <v>1.0111000537872314</v>
      </c>
      <c r="L30">
        <v>4.3400000780820847E-2</v>
      </c>
      <c r="N30">
        <f t="shared" ref="N30:N33" si="9">B30-0.043</f>
        <v>1.0976999826431275</v>
      </c>
      <c r="O30">
        <f t="shared" si="0"/>
        <v>1.1153000421524049</v>
      </c>
      <c r="P30">
        <f t="shared" si="1"/>
        <v>1.0423999853134156</v>
      </c>
      <c r="Q30">
        <f t="shared" si="2"/>
        <v>0.74940000247955318</v>
      </c>
      <c r="R30">
        <f t="shared" si="3"/>
        <v>1.112900001525879</v>
      </c>
      <c r="S30">
        <f t="shared" si="4"/>
        <v>1.0589999980926514</v>
      </c>
      <c r="T30">
        <f t="shared" si="5"/>
        <v>1.0811999864578248</v>
      </c>
      <c r="U30">
        <f t="shared" si="6"/>
        <v>1.1214999980926514</v>
      </c>
      <c r="V30">
        <f t="shared" si="7"/>
        <v>1.0657000370025635</v>
      </c>
      <c r="W30">
        <f t="shared" si="8"/>
        <v>0.96810005378723141</v>
      </c>
    </row>
    <row r="31" spans="1:23" x14ac:dyDescent="0.2">
      <c r="A31" s="4" t="s">
        <v>36</v>
      </c>
      <c r="B31">
        <v>1.0341000556945801</v>
      </c>
      <c r="C31">
        <v>1.1190999746322632</v>
      </c>
      <c r="D31">
        <v>1.0250999927520752</v>
      </c>
      <c r="E31">
        <v>0.91170001029968262</v>
      </c>
      <c r="F31">
        <v>1.1051000356674194</v>
      </c>
      <c r="G31">
        <v>1.0631999969482422</v>
      </c>
      <c r="H31">
        <v>1.0679999589920044</v>
      </c>
      <c r="I31">
        <v>1.0904999971389771</v>
      </c>
      <c r="J31">
        <v>1.1181000471115112</v>
      </c>
      <c r="K31">
        <v>0.94239997863769531</v>
      </c>
      <c r="L31">
        <v>4.3400000780820847E-2</v>
      </c>
      <c r="N31">
        <f t="shared" si="9"/>
        <v>0.99110005569458004</v>
      </c>
      <c r="O31">
        <f t="shared" si="0"/>
        <v>1.0760999746322633</v>
      </c>
      <c r="P31">
        <f t="shared" si="1"/>
        <v>0.98209999275207516</v>
      </c>
      <c r="Q31">
        <f t="shared" si="2"/>
        <v>0.86870001029968258</v>
      </c>
      <c r="R31">
        <f t="shared" si="3"/>
        <v>1.0621000356674195</v>
      </c>
      <c r="S31">
        <f t="shared" si="4"/>
        <v>1.0201999969482423</v>
      </c>
      <c r="T31">
        <f t="shared" si="5"/>
        <v>1.0249999589920045</v>
      </c>
      <c r="U31">
        <f t="shared" si="6"/>
        <v>1.0474999971389771</v>
      </c>
      <c r="V31">
        <f t="shared" si="7"/>
        <v>1.0751000471115113</v>
      </c>
      <c r="W31">
        <f t="shared" si="8"/>
        <v>0.89939997863769527</v>
      </c>
    </row>
    <row r="32" spans="1:23" x14ac:dyDescent="0.2">
      <c r="A32" s="4" t="s">
        <v>37</v>
      </c>
      <c r="B32">
        <v>1.0427000522613525</v>
      </c>
      <c r="C32">
        <v>1.058899998664856</v>
      </c>
      <c r="D32">
        <v>1.1260000467300415</v>
      </c>
      <c r="E32">
        <v>0.9570000171661377</v>
      </c>
      <c r="F32">
        <v>1.1045000553131104</v>
      </c>
      <c r="G32">
        <v>1.0834000110626221</v>
      </c>
      <c r="H32">
        <v>1.0872999429702759</v>
      </c>
      <c r="I32">
        <v>0.96160000562667847</v>
      </c>
      <c r="J32">
        <v>1.0877000093460083</v>
      </c>
      <c r="K32">
        <v>1.0714999437332153</v>
      </c>
      <c r="L32">
        <v>4.4500000774860382E-2</v>
      </c>
      <c r="N32">
        <f t="shared" si="9"/>
        <v>0.9997000522613525</v>
      </c>
      <c r="O32">
        <f t="shared" si="0"/>
        <v>1.015899998664856</v>
      </c>
      <c r="P32">
        <f t="shared" si="1"/>
        <v>1.0830000467300416</v>
      </c>
      <c r="Q32">
        <f t="shared" si="2"/>
        <v>0.91400001716613766</v>
      </c>
      <c r="R32">
        <f t="shared" si="3"/>
        <v>1.0615000553131104</v>
      </c>
      <c r="S32">
        <f t="shared" si="4"/>
        <v>1.0404000110626221</v>
      </c>
      <c r="T32">
        <f t="shared" si="5"/>
        <v>1.044299942970276</v>
      </c>
      <c r="U32">
        <f t="shared" si="6"/>
        <v>0.91860000562667843</v>
      </c>
      <c r="V32">
        <f t="shared" si="7"/>
        <v>1.0447000093460084</v>
      </c>
      <c r="W32">
        <f t="shared" si="8"/>
        <v>1.0284999437332154</v>
      </c>
    </row>
    <row r="33" spans="1:23" x14ac:dyDescent="0.2">
      <c r="A33" s="4" t="s">
        <v>38</v>
      </c>
      <c r="B33">
        <v>0.9090999960899353</v>
      </c>
      <c r="C33">
        <v>1.0928000211715698</v>
      </c>
      <c r="D33">
        <v>1.117900013923645</v>
      </c>
      <c r="E33">
        <v>0.83480000495910645</v>
      </c>
      <c r="F33">
        <v>0.77389997243881226</v>
      </c>
      <c r="G33">
        <v>1.138700008392334</v>
      </c>
      <c r="H33">
        <v>1.1040999889373779</v>
      </c>
      <c r="I33">
        <v>0.95800000429153442</v>
      </c>
      <c r="J33">
        <v>0.79320001602172852</v>
      </c>
      <c r="K33">
        <v>1.0644999742507935</v>
      </c>
      <c r="L33">
        <v>4.4700000435113907E-2</v>
      </c>
      <c r="N33">
        <f t="shared" si="9"/>
        <v>0.86609999608993526</v>
      </c>
      <c r="O33">
        <f t="shared" si="0"/>
        <v>1.0498000211715699</v>
      </c>
      <c r="P33">
        <f t="shared" si="1"/>
        <v>1.0749000139236451</v>
      </c>
      <c r="Q33">
        <f t="shared" si="2"/>
        <v>0.79180000495910641</v>
      </c>
      <c r="R33">
        <f t="shared" si="3"/>
        <v>0.73089997243881222</v>
      </c>
      <c r="S33">
        <f t="shared" si="4"/>
        <v>1.0957000083923341</v>
      </c>
      <c r="T33">
        <f t="shared" si="5"/>
        <v>1.061099988937378</v>
      </c>
      <c r="U33">
        <f t="shared" si="6"/>
        <v>0.91500000429153439</v>
      </c>
      <c r="V33">
        <f t="shared" si="7"/>
        <v>0.75020001602172848</v>
      </c>
      <c r="W33">
        <f t="shared" si="8"/>
        <v>1.0214999742507935</v>
      </c>
    </row>
    <row r="35" spans="1:23" x14ac:dyDescent="0.2">
      <c r="L35">
        <f>AVERAGE(L29:L31)</f>
        <v>4.3233333776394524E-2</v>
      </c>
    </row>
    <row r="38" spans="1:23" x14ac:dyDescent="0.2">
      <c r="A38" t="s">
        <v>39</v>
      </c>
      <c r="B38" s="2" t="s">
        <v>42</v>
      </c>
    </row>
    <row r="43" spans="1:23" x14ac:dyDescent="0.2">
      <c r="A43" t="s">
        <v>43</v>
      </c>
    </row>
    <row r="44" spans="1:23" x14ac:dyDescent="0.2">
      <c r="A44" t="s">
        <v>21</v>
      </c>
      <c r="E44" t="s">
        <v>44</v>
      </c>
    </row>
    <row r="45" spans="1:23" x14ac:dyDescent="0.2">
      <c r="A45" t="s">
        <v>45</v>
      </c>
      <c r="E45">
        <v>488</v>
      </c>
      <c r="F45" t="s">
        <v>24</v>
      </c>
    </row>
    <row r="46" spans="1:23" x14ac:dyDescent="0.2">
      <c r="A46" t="s">
        <v>46</v>
      </c>
      <c r="E46">
        <v>520</v>
      </c>
      <c r="F46" t="s">
        <v>24</v>
      </c>
    </row>
    <row r="47" spans="1:23" x14ac:dyDescent="0.2">
      <c r="A47" t="s">
        <v>47</v>
      </c>
      <c r="E47">
        <v>9</v>
      </c>
      <c r="F47" t="s">
        <v>24</v>
      </c>
    </row>
    <row r="48" spans="1:23" x14ac:dyDescent="0.2">
      <c r="A48" t="s">
        <v>48</v>
      </c>
      <c r="E48">
        <v>20</v>
      </c>
      <c r="F48" t="s">
        <v>24</v>
      </c>
    </row>
    <row r="49" spans="1:12" x14ac:dyDescent="0.2">
      <c r="A49" t="s">
        <v>49</v>
      </c>
      <c r="E49">
        <v>50</v>
      </c>
      <c r="F49" t="s">
        <v>50</v>
      </c>
    </row>
    <row r="50" spans="1:12" x14ac:dyDescent="0.2">
      <c r="A50" t="s">
        <v>26</v>
      </c>
      <c r="E50">
        <v>25</v>
      </c>
    </row>
    <row r="51" spans="1:12" x14ac:dyDescent="0.2">
      <c r="A51" t="s">
        <v>51</v>
      </c>
      <c r="E51">
        <v>20</v>
      </c>
      <c r="F51" t="s">
        <v>52</v>
      </c>
    </row>
    <row r="52" spans="1:12" x14ac:dyDescent="0.2">
      <c r="A52" t="s">
        <v>53</v>
      </c>
      <c r="E52">
        <v>0</v>
      </c>
      <c r="F52" t="s">
        <v>52</v>
      </c>
    </row>
    <row r="53" spans="1:12" x14ac:dyDescent="0.2">
      <c r="A53" t="s">
        <v>27</v>
      </c>
      <c r="E53">
        <v>0</v>
      </c>
      <c r="F53" t="s">
        <v>28</v>
      </c>
    </row>
    <row r="54" spans="1:12" x14ac:dyDescent="0.2">
      <c r="A54" t="s">
        <v>54</v>
      </c>
      <c r="E54">
        <v>20000</v>
      </c>
      <c r="F54" t="s">
        <v>55</v>
      </c>
    </row>
    <row r="55" spans="1:12" x14ac:dyDescent="0.2">
      <c r="A55" t="s">
        <v>29</v>
      </c>
      <c r="E55" t="s">
        <v>30</v>
      </c>
    </row>
    <row r="56" spans="1:12" x14ac:dyDescent="0.2">
      <c r="A56" t="s">
        <v>31</v>
      </c>
      <c r="B56" s="2" t="s">
        <v>56</v>
      </c>
    </row>
    <row r="58" spans="1:12" x14ac:dyDescent="0.2">
      <c r="B58" t="s">
        <v>32</v>
      </c>
    </row>
    <row r="59" spans="1:12" x14ac:dyDescent="0.2">
      <c r="A59" s="4" t="s">
        <v>33</v>
      </c>
      <c r="B59" s="4">
        <v>2</v>
      </c>
      <c r="C59" s="4">
        <v>3</v>
      </c>
      <c r="D59" s="4">
        <v>4</v>
      </c>
      <c r="E59" s="4">
        <v>5</v>
      </c>
      <c r="F59" s="4">
        <v>6</v>
      </c>
      <c r="G59" s="4">
        <v>7</v>
      </c>
      <c r="H59" s="4">
        <v>8</v>
      </c>
      <c r="I59" s="4">
        <v>9</v>
      </c>
      <c r="J59" s="4">
        <v>10</v>
      </c>
      <c r="K59" s="4">
        <v>11</v>
      </c>
      <c r="L59" s="4">
        <v>12</v>
      </c>
    </row>
    <row r="60" spans="1:12" x14ac:dyDescent="0.2">
      <c r="A60" s="4" t="s">
        <v>34</v>
      </c>
      <c r="B60">
        <v>80</v>
      </c>
      <c r="C60">
        <v>395</v>
      </c>
      <c r="D60">
        <v>258</v>
      </c>
      <c r="E60">
        <v>201</v>
      </c>
      <c r="F60">
        <v>118</v>
      </c>
      <c r="G60">
        <v>108</v>
      </c>
      <c r="H60">
        <v>448</v>
      </c>
      <c r="I60">
        <v>205</v>
      </c>
      <c r="J60">
        <v>295</v>
      </c>
      <c r="K60">
        <v>128</v>
      </c>
      <c r="L60">
        <v>76</v>
      </c>
    </row>
    <row r="61" spans="1:12" x14ac:dyDescent="0.2">
      <c r="A61" s="4" t="s">
        <v>35</v>
      </c>
      <c r="B61">
        <v>91</v>
      </c>
      <c r="C61">
        <v>455</v>
      </c>
      <c r="D61">
        <v>296</v>
      </c>
      <c r="E61">
        <v>151</v>
      </c>
      <c r="F61">
        <v>121</v>
      </c>
      <c r="G61">
        <v>105</v>
      </c>
      <c r="H61">
        <v>446</v>
      </c>
      <c r="I61">
        <v>346</v>
      </c>
      <c r="J61">
        <v>303</v>
      </c>
      <c r="K61">
        <v>124</v>
      </c>
      <c r="L61">
        <v>78</v>
      </c>
    </row>
    <row r="62" spans="1:12" x14ac:dyDescent="0.2">
      <c r="A62" s="4" t="s">
        <v>36</v>
      </c>
      <c r="B62">
        <v>84</v>
      </c>
      <c r="C62">
        <v>424</v>
      </c>
      <c r="D62">
        <v>274</v>
      </c>
      <c r="E62">
        <v>273</v>
      </c>
      <c r="F62">
        <v>118</v>
      </c>
      <c r="G62">
        <v>102</v>
      </c>
      <c r="H62">
        <v>402</v>
      </c>
      <c r="I62">
        <v>306</v>
      </c>
      <c r="J62">
        <v>312</v>
      </c>
      <c r="K62">
        <v>117</v>
      </c>
      <c r="L62">
        <v>79</v>
      </c>
    </row>
    <row r="63" spans="1:12" x14ac:dyDescent="0.2">
      <c r="A63" s="4" t="s">
        <v>37</v>
      </c>
      <c r="B63">
        <v>87</v>
      </c>
      <c r="C63">
        <v>450</v>
      </c>
      <c r="D63">
        <v>217</v>
      </c>
      <c r="E63">
        <v>307</v>
      </c>
      <c r="F63">
        <v>118</v>
      </c>
      <c r="G63">
        <v>111</v>
      </c>
      <c r="H63">
        <v>426</v>
      </c>
      <c r="I63">
        <v>255</v>
      </c>
      <c r="J63">
        <v>297</v>
      </c>
      <c r="K63">
        <v>137</v>
      </c>
      <c r="L63">
        <v>8</v>
      </c>
    </row>
    <row r="64" spans="1:12" x14ac:dyDescent="0.2">
      <c r="A64" s="4" t="s">
        <v>38</v>
      </c>
      <c r="B64">
        <v>84</v>
      </c>
      <c r="C64">
        <v>435</v>
      </c>
      <c r="D64">
        <v>213</v>
      </c>
      <c r="E64">
        <v>329</v>
      </c>
      <c r="F64">
        <v>92</v>
      </c>
      <c r="G64">
        <v>114</v>
      </c>
      <c r="H64">
        <v>429</v>
      </c>
      <c r="I64">
        <v>255</v>
      </c>
      <c r="J64">
        <v>226</v>
      </c>
      <c r="K64">
        <v>130</v>
      </c>
      <c r="L64">
        <v>8</v>
      </c>
    </row>
    <row r="67" spans="1:23" x14ac:dyDescent="0.2">
      <c r="N67" s="19" t="s">
        <v>64</v>
      </c>
      <c r="O67" s="19"/>
      <c r="P67" s="19"/>
      <c r="Q67" s="19"/>
      <c r="R67" t="s">
        <v>65</v>
      </c>
      <c r="S67" s="19" t="s">
        <v>64</v>
      </c>
      <c r="T67" s="19"/>
      <c r="U67" s="19"/>
      <c r="V67" s="19"/>
      <c r="W67" t="s">
        <v>65</v>
      </c>
    </row>
    <row r="68" spans="1:23" x14ac:dyDescent="0.2">
      <c r="N68" s="19" t="s">
        <v>66</v>
      </c>
      <c r="O68" s="19"/>
      <c r="P68" s="19"/>
      <c r="Q68" s="19"/>
      <c r="R68" s="19"/>
      <c r="S68" s="19" t="s">
        <v>67</v>
      </c>
      <c r="T68" s="19"/>
      <c r="U68" s="19"/>
      <c r="V68" s="19"/>
      <c r="W68" s="19"/>
    </row>
    <row r="69" spans="1:23" ht="16" thickBot="1" x14ac:dyDescent="0.25">
      <c r="A69" t="s">
        <v>39</v>
      </c>
      <c r="B69" s="2" t="s">
        <v>57</v>
      </c>
      <c r="N69" t="s">
        <v>68</v>
      </c>
      <c r="O69" t="s">
        <v>69</v>
      </c>
      <c r="P69" t="s">
        <v>70</v>
      </c>
      <c r="Q69" t="s">
        <v>71</v>
      </c>
      <c r="R69" t="s">
        <v>72</v>
      </c>
      <c r="S69" t="s">
        <v>68</v>
      </c>
      <c r="T69" t="s">
        <v>69</v>
      </c>
      <c r="U69" t="s">
        <v>70</v>
      </c>
      <c r="V69" t="s">
        <v>71</v>
      </c>
      <c r="W69" t="s">
        <v>72</v>
      </c>
    </row>
    <row r="70" spans="1:23" x14ac:dyDescent="0.2">
      <c r="N70" s="5">
        <f>N91/N29</f>
        <v>653.33332886003029</v>
      </c>
      <c r="O70" s="6">
        <f t="shared" ref="O70:W70" si="10">O91/O29</f>
        <v>9448.5843101147202</v>
      </c>
      <c r="P70" s="6">
        <f t="shared" si="10"/>
        <v>5650.81934247347</v>
      </c>
      <c r="Q70" s="6">
        <f t="shared" si="10"/>
        <v>3726.6040806932215</v>
      </c>
      <c r="R70" s="7">
        <f t="shared" si="10"/>
        <v>1515.8574369514492</v>
      </c>
      <c r="S70" s="5">
        <f t="shared" si="10"/>
        <v>1296.8143207282967</v>
      </c>
      <c r="T70" s="6">
        <f t="shared" si="10"/>
        <v>10011.805599838051</v>
      </c>
      <c r="U70" s="6">
        <f t="shared" si="10"/>
        <v>5123.1525890192361</v>
      </c>
      <c r="V70" s="6">
        <f t="shared" si="10"/>
        <v>6481.4101237550203</v>
      </c>
      <c r="W70" s="7">
        <f t="shared" si="10"/>
        <v>1874.0727026169852</v>
      </c>
    </row>
    <row r="71" spans="1:23" x14ac:dyDescent="0.2">
      <c r="N71" s="8">
        <f t="shared" ref="N71:W74" si="11">N92/N30</f>
        <v>811.69719785781615</v>
      </c>
      <c r="O71">
        <f t="shared" si="11"/>
        <v>10073.522438246933</v>
      </c>
      <c r="P71">
        <f t="shared" si="11"/>
        <v>6476.4007052150855</v>
      </c>
      <c r="Q71">
        <f t="shared" si="11"/>
        <v>3521.48384209807</v>
      </c>
      <c r="R71" s="9">
        <f t="shared" si="11"/>
        <v>1588.642283741508</v>
      </c>
      <c r="S71" s="8">
        <f t="shared" si="11"/>
        <v>1277.620398901669</v>
      </c>
      <c r="T71">
        <f t="shared" si="11"/>
        <v>10173.881000533185</v>
      </c>
      <c r="U71">
        <f t="shared" si="11"/>
        <v>7305.3945732803686</v>
      </c>
      <c r="V71">
        <f t="shared" si="11"/>
        <v>6493.3844043615754</v>
      </c>
      <c r="W71" s="9">
        <f t="shared" si="11"/>
        <v>1915.0913097743421</v>
      </c>
    </row>
    <row r="72" spans="1:23" x14ac:dyDescent="0.2">
      <c r="N72" s="8">
        <f t="shared" si="11"/>
        <v>735.54632129356935</v>
      </c>
      <c r="O72">
        <f t="shared" si="11"/>
        <v>9638.5096594249371</v>
      </c>
      <c r="P72">
        <f t="shared" si="11"/>
        <v>6172.4875722815659</v>
      </c>
      <c r="Q72">
        <f t="shared" si="11"/>
        <v>6975.9409786462784</v>
      </c>
      <c r="R72" s="9">
        <f t="shared" si="11"/>
        <v>1584.5965007829129</v>
      </c>
      <c r="S72" s="8">
        <f t="shared" si="11"/>
        <v>1245.8341538933387</v>
      </c>
      <c r="T72">
        <f t="shared" si="11"/>
        <v>9537.5613571866088</v>
      </c>
      <c r="U72">
        <f t="shared" si="11"/>
        <v>6676.8496602411642</v>
      </c>
      <c r="V72">
        <f t="shared" si="11"/>
        <v>6631.9409241551857</v>
      </c>
      <c r="W72" s="9">
        <f t="shared" si="11"/>
        <v>1854.5697571913324</v>
      </c>
    </row>
    <row r="73" spans="1:23" x14ac:dyDescent="0.2">
      <c r="N73" s="8">
        <f t="shared" si="11"/>
        <v>811.24333060250706</v>
      </c>
      <c r="O73">
        <f t="shared" si="11"/>
        <v>10906.585308162084</v>
      </c>
      <c r="P73">
        <f t="shared" si="11"/>
        <v>4189.2888312413288</v>
      </c>
      <c r="Q73">
        <f t="shared" si="11"/>
        <v>7692.5600305781791</v>
      </c>
      <c r="R73" s="9">
        <f t="shared" si="11"/>
        <v>1629.769109611306</v>
      </c>
      <c r="S73" s="8">
        <f t="shared" si="11"/>
        <v>1425.4132874194459</v>
      </c>
      <c r="T73">
        <f t="shared" si="11"/>
        <v>9970.3155880535742</v>
      </c>
      <c r="U73">
        <f t="shared" si="11"/>
        <v>6071.195260003632</v>
      </c>
      <c r="V73">
        <f t="shared" si="11"/>
        <v>6400.8805783261378</v>
      </c>
      <c r="W73" s="9">
        <f t="shared" si="11"/>
        <v>2153.6218971097514</v>
      </c>
    </row>
    <row r="74" spans="1:23" ht="16" thickBot="1" x14ac:dyDescent="0.25">
      <c r="A74" t="s">
        <v>58</v>
      </c>
      <c r="N74" s="10">
        <f t="shared" si="11"/>
        <v>860.17781245046865</v>
      </c>
      <c r="O74" s="11">
        <f t="shared" si="11"/>
        <v>10099.066285184714</v>
      </c>
      <c r="P74" s="11">
        <f t="shared" si="11"/>
        <v>4069.2156882888503</v>
      </c>
      <c r="Q74" s="11">
        <f t="shared" si="11"/>
        <v>9719.6261073495079</v>
      </c>
      <c r="R74" s="12">
        <f t="shared" si="11"/>
        <v>1288.8220488732611</v>
      </c>
      <c r="S74" s="10">
        <f t="shared" si="11"/>
        <v>1429.2233166062613</v>
      </c>
      <c r="T74" s="11">
        <f t="shared" si="11"/>
        <v>9895.3916779464489</v>
      </c>
      <c r="U74" s="11">
        <f t="shared" si="11"/>
        <v>6078.6884960798898</v>
      </c>
      <c r="V74" s="11">
        <f t="shared" si="11"/>
        <v>6398.2936516772543</v>
      </c>
      <c r="W74" s="12">
        <f t="shared" si="11"/>
        <v>1977.4841418684753</v>
      </c>
    </row>
    <row r="75" spans="1:23" x14ac:dyDescent="0.2">
      <c r="A75" t="s">
        <v>21</v>
      </c>
      <c r="E75" t="s">
        <v>44</v>
      </c>
    </row>
    <row r="76" spans="1:23" x14ac:dyDescent="0.2">
      <c r="A76" t="s">
        <v>45</v>
      </c>
      <c r="E76">
        <v>488</v>
      </c>
      <c r="F76" t="s">
        <v>24</v>
      </c>
      <c r="N76">
        <f t="shared" ref="N76:W76" si="12">AVERAGE(N70:N74)</f>
        <v>774.39959821287823</v>
      </c>
      <c r="O76">
        <f t="shared" si="12"/>
        <v>10033.253600226677</v>
      </c>
      <c r="P76">
        <f t="shared" si="12"/>
        <v>5311.6424279000612</v>
      </c>
      <c r="Q76">
        <f t="shared" si="12"/>
        <v>6327.2430078730522</v>
      </c>
      <c r="R76">
        <f t="shared" si="12"/>
        <v>1521.5374759920874</v>
      </c>
      <c r="S76">
        <f t="shared" si="12"/>
        <v>1334.9810955098023</v>
      </c>
      <c r="T76">
        <f t="shared" si="12"/>
        <v>9917.7910447115737</v>
      </c>
      <c r="U76">
        <f t="shared" si="12"/>
        <v>6251.0561157248576</v>
      </c>
      <c r="V76">
        <f t="shared" si="12"/>
        <v>6481.1819364550338</v>
      </c>
      <c r="W76">
        <f t="shared" si="12"/>
        <v>1954.9679617121772</v>
      </c>
    </row>
    <row r="77" spans="1:23" x14ac:dyDescent="0.2">
      <c r="A77" t="s">
        <v>46</v>
      </c>
      <c r="E77">
        <v>520</v>
      </c>
      <c r="F77" t="s">
        <v>24</v>
      </c>
    </row>
    <row r="78" spans="1:23" x14ac:dyDescent="0.2">
      <c r="A78" t="s">
        <v>47</v>
      </c>
      <c r="E78">
        <v>9</v>
      </c>
      <c r="F78" t="s">
        <v>24</v>
      </c>
      <c r="M78" t="s">
        <v>75</v>
      </c>
      <c r="N78" s="13">
        <f>N76/974</f>
        <v>0.79507145607071683</v>
      </c>
      <c r="O78" s="14">
        <f>O76/10336</f>
        <v>0.97070952014576983</v>
      </c>
      <c r="P78" s="14">
        <f>P76/16798</f>
        <v>0.31620683580783793</v>
      </c>
      <c r="Q78" s="14">
        <f>Q76/40900</f>
        <v>0.15470031804090592</v>
      </c>
      <c r="R78" s="13">
        <f>R76/1809</f>
        <v>0.84109313211281778</v>
      </c>
      <c r="S78">
        <f>S76/895</f>
        <v>1.4915989893964272</v>
      </c>
      <c r="T78" s="14">
        <f>T76/10832</f>
        <v>0.91560109349257512</v>
      </c>
      <c r="U78" s="14">
        <f>U76/17626</f>
        <v>0.35464972856716542</v>
      </c>
      <c r="V78" s="14">
        <f>V76/52231</f>
        <v>0.12408688205194297</v>
      </c>
      <c r="W78">
        <f>W76/1938</f>
        <v>1.0087553982002979</v>
      </c>
    </row>
    <row r="79" spans="1:23" x14ac:dyDescent="0.2">
      <c r="A79" t="s">
        <v>48</v>
      </c>
      <c r="E79">
        <v>20</v>
      </c>
      <c r="F79" t="s">
        <v>24</v>
      </c>
      <c r="N79" s="13"/>
      <c r="O79" s="14"/>
      <c r="P79" s="14"/>
      <c r="Q79" s="14"/>
      <c r="R79" s="13"/>
      <c r="T79" s="14"/>
      <c r="U79" s="14"/>
      <c r="V79" s="14"/>
    </row>
    <row r="80" spans="1:23" x14ac:dyDescent="0.2">
      <c r="A80" t="s">
        <v>49</v>
      </c>
      <c r="E80">
        <v>80</v>
      </c>
      <c r="F80" t="s">
        <v>50</v>
      </c>
      <c r="O80">
        <v>0.76480811530581838</v>
      </c>
      <c r="P80">
        <v>0.27963033866450804</v>
      </c>
      <c r="Q80">
        <v>2.5762064429055653E-2</v>
      </c>
      <c r="T80">
        <v>0.47405271129345883</v>
      </c>
      <c r="U80">
        <v>0.12721054123881126</v>
      </c>
      <c r="V80">
        <v>1.7987497954172215E-2</v>
      </c>
    </row>
    <row r="81" spans="1:23" x14ac:dyDescent="0.2">
      <c r="A81" t="s">
        <v>26</v>
      </c>
      <c r="E81">
        <v>25</v>
      </c>
    </row>
    <row r="82" spans="1:23" ht="16" thickBot="1" x14ac:dyDescent="0.25">
      <c r="A82" t="s">
        <v>51</v>
      </c>
      <c r="E82">
        <v>20</v>
      </c>
      <c r="F82" t="s">
        <v>52</v>
      </c>
    </row>
    <row r="83" spans="1:23" ht="16" thickBot="1" x14ac:dyDescent="0.25">
      <c r="A83" t="s">
        <v>53</v>
      </c>
      <c r="E83">
        <v>0</v>
      </c>
      <c r="F83" t="s">
        <v>52</v>
      </c>
      <c r="M83" t="s">
        <v>73</v>
      </c>
      <c r="N83" s="15">
        <v>714.81260550143907</v>
      </c>
      <c r="O83" s="16">
        <v>8657.2097105521261</v>
      </c>
      <c r="P83" s="16">
        <v>5517.7338255343739</v>
      </c>
      <c r="Q83" s="16">
        <v>1018.9620756169745</v>
      </c>
      <c r="R83" s="17">
        <v>1433.8180261282453</v>
      </c>
      <c r="S83" s="15">
        <v>688.95452093015979</v>
      </c>
      <c r="T83" s="16">
        <v>7608.1893746563246</v>
      </c>
      <c r="U83" s="16">
        <v>2228.0223339206577</v>
      </c>
      <c r="V83" s="16">
        <v>880.59280703005538</v>
      </c>
      <c r="W83" s="17">
        <v>1464.9586991084579</v>
      </c>
    </row>
    <row r="84" spans="1:23" x14ac:dyDescent="0.2">
      <c r="A84" t="s">
        <v>27</v>
      </c>
      <c r="E84">
        <v>0</v>
      </c>
      <c r="F84" t="s">
        <v>28</v>
      </c>
      <c r="M84" t="s">
        <v>74</v>
      </c>
      <c r="N84">
        <f>N76/N83</f>
        <v>1.0833602992628244</v>
      </c>
      <c r="O84" s="13">
        <f t="shared" ref="O84:W84" si="13">O76/O83</f>
        <v>1.1589477367052012</v>
      </c>
      <c r="P84" s="13">
        <f t="shared" si="13"/>
        <v>0.96264926795116768</v>
      </c>
      <c r="Q84" s="13">
        <f>Q76/Q83</f>
        <v>6.2094980365603405</v>
      </c>
      <c r="R84">
        <f t="shared" si="13"/>
        <v>1.0611789280545676</v>
      </c>
      <c r="S84">
        <f t="shared" si="13"/>
        <v>1.9376911754747468</v>
      </c>
      <c r="T84" s="13">
        <f t="shared" si="13"/>
        <v>1.3035678472658387</v>
      </c>
      <c r="U84" s="13">
        <f t="shared" si="13"/>
        <v>2.80565235839663</v>
      </c>
      <c r="V84" s="13">
        <f>V76/V83</f>
        <v>7.3600214363706762</v>
      </c>
      <c r="W84">
        <f t="shared" si="13"/>
        <v>1.3344867421190292</v>
      </c>
    </row>
    <row r="85" spans="1:23" x14ac:dyDescent="0.2">
      <c r="A85" t="s">
        <v>54</v>
      </c>
      <c r="E85">
        <v>20000</v>
      </c>
      <c r="F85" t="s">
        <v>55</v>
      </c>
    </row>
    <row r="86" spans="1:23" ht="16" thickBot="1" x14ac:dyDescent="0.25">
      <c r="A86" t="s">
        <v>29</v>
      </c>
      <c r="E86" t="s">
        <v>30</v>
      </c>
      <c r="M86" t="s">
        <v>76</v>
      </c>
      <c r="N86">
        <v>1332.2986394617906</v>
      </c>
      <c r="O86">
        <v>12151.597751635452</v>
      </c>
      <c r="P86">
        <v>9983.4982568661017</v>
      </c>
      <c r="Q86">
        <v>14005.697216489109</v>
      </c>
      <c r="R86">
        <v>2266.3493807658733</v>
      </c>
      <c r="S86">
        <v>1359.7443166378155</v>
      </c>
      <c r="T86">
        <v>12702.261450492337</v>
      </c>
      <c r="U86">
        <v>11913.199206990072</v>
      </c>
      <c r="V86">
        <v>11945.967625454212</v>
      </c>
      <c r="W86">
        <v>2461.8538792303502</v>
      </c>
    </row>
    <row r="87" spans="1:23" ht="16" thickBot="1" x14ac:dyDescent="0.25">
      <c r="A87" t="s">
        <v>31</v>
      </c>
      <c r="B87" s="2" t="s">
        <v>59</v>
      </c>
      <c r="M87" t="s">
        <v>77</v>
      </c>
      <c r="N87" s="15">
        <f>N76/N86</f>
        <v>0.58125076110992113</v>
      </c>
      <c r="O87" s="16">
        <f t="shared" ref="O87:W87" si="14">O76/O86</f>
        <v>0.82567361142910833</v>
      </c>
      <c r="P87" s="16">
        <f t="shared" si="14"/>
        <v>0.53204220517061795</v>
      </c>
      <c r="Q87" s="16">
        <f t="shared" si="14"/>
        <v>0.45176208724717382</v>
      </c>
      <c r="R87" s="18">
        <f t="shared" si="14"/>
        <v>0.67136050994834273</v>
      </c>
      <c r="S87" s="15">
        <f t="shared" si="14"/>
        <v>0.98178832533071791</v>
      </c>
      <c r="T87" s="16">
        <f t="shared" si="14"/>
        <v>0.78078939591714691</v>
      </c>
      <c r="U87" s="16">
        <f t="shared" si="14"/>
        <v>0.5247168293850949</v>
      </c>
      <c r="V87" s="16">
        <f t="shared" si="14"/>
        <v>0.54254139469163387</v>
      </c>
      <c r="W87" s="18">
        <f t="shared" si="14"/>
        <v>0.79410397920259956</v>
      </c>
    </row>
    <row r="89" spans="1:23" x14ac:dyDescent="0.2">
      <c r="B89" t="s">
        <v>32</v>
      </c>
    </row>
    <row r="90" spans="1:23" x14ac:dyDescent="0.2">
      <c r="A90" s="4" t="s">
        <v>33</v>
      </c>
      <c r="B90" s="4">
        <v>2</v>
      </c>
      <c r="C90" s="4">
        <v>3</v>
      </c>
      <c r="D90" s="4">
        <v>4</v>
      </c>
      <c r="E90" s="4">
        <v>5</v>
      </c>
      <c r="F90" s="4">
        <v>6</v>
      </c>
      <c r="G90" s="4">
        <v>7</v>
      </c>
      <c r="H90" s="4">
        <v>8</v>
      </c>
      <c r="I90" s="4">
        <v>9</v>
      </c>
      <c r="J90" s="4">
        <v>10</v>
      </c>
      <c r="K90" s="4">
        <v>11</v>
      </c>
      <c r="L90" s="4">
        <v>12</v>
      </c>
    </row>
    <row r="91" spans="1:23" x14ac:dyDescent="0.2">
      <c r="A91" s="4" t="s">
        <v>34</v>
      </c>
      <c r="B91">
        <v>2301</v>
      </c>
      <c r="C91">
        <v>11174</v>
      </c>
      <c r="D91">
        <v>7286</v>
      </c>
      <c r="E91">
        <v>5666</v>
      </c>
      <c r="F91">
        <v>3356</v>
      </c>
      <c r="G91">
        <v>3101</v>
      </c>
      <c r="H91">
        <v>12689</v>
      </c>
      <c r="I91">
        <v>5824</v>
      </c>
      <c r="J91">
        <v>8358</v>
      </c>
      <c r="K91">
        <v>3685</v>
      </c>
      <c r="L91">
        <v>1705</v>
      </c>
      <c r="N91">
        <f>B91-1664</f>
        <v>637</v>
      </c>
      <c r="O91">
        <f t="shared" ref="O91:O95" si="15">C91-1664</f>
        <v>9510</v>
      </c>
      <c r="P91">
        <f t="shared" ref="P91:P95" si="16">D91-1664</f>
        <v>5622</v>
      </c>
      <c r="Q91">
        <f t="shared" ref="Q91:Q95" si="17">E91-1664</f>
        <v>4002</v>
      </c>
      <c r="R91">
        <f t="shared" ref="R91:R95" si="18">F91-1664</f>
        <v>1692</v>
      </c>
      <c r="S91">
        <f t="shared" ref="S91:S95" si="19">G91-1664</f>
        <v>1437</v>
      </c>
      <c r="T91">
        <f t="shared" ref="T91:T95" si="20">H91-1664</f>
        <v>11025</v>
      </c>
      <c r="U91">
        <f t="shared" ref="U91:U95" si="21">I91-1664</f>
        <v>4160</v>
      </c>
      <c r="V91">
        <f t="shared" ref="V91:V95" si="22">J91-1664</f>
        <v>6694</v>
      </c>
      <c r="W91">
        <f t="shared" ref="W91:W95" si="23">K91-1664</f>
        <v>2021</v>
      </c>
    </row>
    <row r="92" spans="1:23" x14ac:dyDescent="0.2">
      <c r="A92" s="4" t="s">
        <v>35</v>
      </c>
      <c r="B92">
        <v>2555</v>
      </c>
      <c r="C92">
        <v>12899</v>
      </c>
      <c r="D92">
        <v>8415</v>
      </c>
      <c r="E92">
        <v>4303</v>
      </c>
      <c r="F92">
        <v>3432</v>
      </c>
      <c r="G92">
        <v>3017</v>
      </c>
      <c r="H92">
        <v>12664</v>
      </c>
      <c r="I92">
        <v>9857</v>
      </c>
      <c r="J92">
        <v>8584</v>
      </c>
      <c r="K92">
        <v>3518</v>
      </c>
      <c r="L92">
        <v>1688</v>
      </c>
      <c r="N92">
        <f t="shared" ref="N92:N95" si="24">B92-1664</f>
        <v>891</v>
      </c>
      <c r="O92">
        <f t="shared" si="15"/>
        <v>11235</v>
      </c>
      <c r="P92">
        <f t="shared" si="16"/>
        <v>6751</v>
      </c>
      <c r="Q92">
        <f t="shared" si="17"/>
        <v>2639</v>
      </c>
      <c r="R92">
        <f t="shared" si="18"/>
        <v>1768</v>
      </c>
      <c r="S92">
        <f t="shared" si="19"/>
        <v>1353</v>
      </c>
      <c r="T92">
        <f t="shared" si="20"/>
        <v>11000</v>
      </c>
      <c r="U92">
        <f t="shared" si="21"/>
        <v>8193</v>
      </c>
      <c r="V92">
        <f t="shared" si="22"/>
        <v>6920</v>
      </c>
      <c r="W92">
        <f t="shared" si="23"/>
        <v>1854</v>
      </c>
    </row>
    <row r="93" spans="1:23" x14ac:dyDescent="0.2">
      <c r="A93" s="4" t="s">
        <v>36</v>
      </c>
      <c r="B93">
        <v>2393</v>
      </c>
      <c r="C93">
        <v>12036</v>
      </c>
      <c r="D93">
        <v>7726</v>
      </c>
      <c r="E93">
        <v>7724</v>
      </c>
      <c r="F93">
        <v>3347</v>
      </c>
      <c r="G93">
        <v>2935</v>
      </c>
      <c r="H93">
        <v>11440</v>
      </c>
      <c r="I93">
        <v>8658</v>
      </c>
      <c r="J93">
        <v>8794</v>
      </c>
      <c r="K93">
        <v>3332</v>
      </c>
      <c r="L93">
        <v>1654</v>
      </c>
      <c r="N93">
        <f t="shared" si="24"/>
        <v>729</v>
      </c>
      <c r="O93">
        <f t="shared" si="15"/>
        <v>10372</v>
      </c>
      <c r="P93">
        <f t="shared" si="16"/>
        <v>6062</v>
      </c>
      <c r="Q93">
        <f t="shared" si="17"/>
        <v>6060</v>
      </c>
      <c r="R93">
        <f t="shared" si="18"/>
        <v>1683</v>
      </c>
      <c r="S93">
        <f t="shared" si="19"/>
        <v>1271</v>
      </c>
      <c r="T93">
        <f t="shared" si="20"/>
        <v>9776</v>
      </c>
      <c r="U93">
        <f t="shared" si="21"/>
        <v>6994</v>
      </c>
      <c r="V93">
        <f t="shared" si="22"/>
        <v>7130</v>
      </c>
      <c r="W93">
        <f t="shared" si="23"/>
        <v>1668</v>
      </c>
    </row>
    <row r="94" spans="1:23" x14ac:dyDescent="0.2">
      <c r="A94" s="4" t="s">
        <v>37</v>
      </c>
      <c r="B94">
        <v>2475</v>
      </c>
      <c r="C94">
        <v>12744</v>
      </c>
      <c r="D94">
        <v>6201</v>
      </c>
      <c r="E94">
        <v>8695</v>
      </c>
      <c r="F94">
        <v>3394</v>
      </c>
      <c r="G94">
        <v>3147</v>
      </c>
      <c r="H94">
        <v>12076</v>
      </c>
      <c r="I94">
        <v>7241</v>
      </c>
      <c r="J94">
        <v>8351</v>
      </c>
      <c r="K94">
        <v>3879</v>
      </c>
      <c r="L94">
        <v>188</v>
      </c>
      <c r="N94">
        <f t="shared" si="24"/>
        <v>811</v>
      </c>
      <c r="O94">
        <f t="shared" si="15"/>
        <v>11080</v>
      </c>
      <c r="P94">
        <f t="shared" si="16"/>
        <v>4537</v>
      </c>
      <c r="Q94">
        <f t="shared" si="17"/>
        <v>7031</v>
      </c>
      <c r="R94">
        <f t="shared" si="18"/>
        <v>1730</v>
      </c>
      <c r="S94">
        <f t="shared" si="19"/>
        <v>1483</v>
      </c>
      <c r="T94">
        <f t="shared" si="20"/>
        <v>10412</v>
      </c>
      <c r="U94">
        <f t="shared" si="21"/>
        <v>5577</v>
      </c>
      <c r="V94">
        <f t="shared" si="22"/>
        <v>6687</v>
      </c>
      <c r="W94">
        <f t="shared" si="23"/>
        <v>2215</v>
      </c>
    </row>
    <row r="95" spans="1:23" x14ac:dyDescent="0.2">
      <c r="A95" s="4" t="s">
        <v>38</v>
      </c>
      <c r="B95">
        <v>2409</v>
      </c>
      <c r="C95">
        <v>12266</v>
      </c>
      <c r="D95">
        <v>6038</v>
      </c>
      <c r="E95">
        <v>9360</v>
      </c>
      <c r="F95">
        <v>2606</v>
      </c>
      <c r="G95">
        <v>3230</v>
      </c>
      <c r="H95">
        <v>12164</v>
      </c>
      <c r="I95">
        <v>7226</v>
      </c>
      <c r="J95">
        <v>6464</v>
      </c>
      <c r="K95">
        <v>3684</v>
      </c>
      <c r="L95">
        <v>189</v>
      </c>
      <c r="N95">
        <f t="shared" si="24"/>
        <v>745</v>
      </c>
      <c r="O95">
        <f t="shared" si="15"/>
        <v>10602</v>
      </c>
      <c r="P95">
        <f t="shared" si="16"/>
        <v>4374</v>
      </c>
      <c r="Q95">
        <f t="shared" si="17"/>
        <v>7696</v>
      </c>
      <c r="R95">
        <f t="shared" si="18"/>
        <v>942</v>
      </c>
      <c r="S95">
        <f t="shared" si="19"/>
        <v>1566</v>
      </c>
      <c r="T95">
        <f t="shared" si="20"/>
        <v>10500</v>
      </c>
      <c r="U95">
        <f t="shared" si="21"/>
        <v>5562</v>
      </c>
      <c r="V95">
        <f t="shared" si="22"/>
        <v>4800</v>
      </c>
      <c r="W95">
        <f t="shared" si="23"/>
        <v>2020</v>
      </c>
    </row>
    <row r="97" spans="1:12" x14ac:dyDescent="0.2">
      <c r="L97">
        <f>AVERAGE(L91:L93)</f>
        <v>1682.3333333333333</v>
      </c>
    </row>
    <row r="99" spans="1:12" x14ac:dyDescent="0.2">
      <c r="L99" s="14"/>
    </row>
    <row r="100" spans="1:12" x14ac:dyDescent="0.2">
      <c r="A100" t="s">
        <v>39</v>
      </c>
      <c r="B100" s="2" t="s">
        <v>60</v>
      </c>
    </row>
    <row r="105" spans="1:12" x14ac:dyDescent="0.2">
      <c r="A105" t="s">
        <v>61</v>
      </c>
    </row>
    <row r="106" spans="1:12" x14ac:dyDescent="0.2">
      <c r="A106" t="s">
        <v>21</v>
      </c>
      <c r="E106" t="s">
        <v>44</v>
      </c>
    </row>
    <row r="107" spans="1:12" x14ac:dyDescent="0.2">
      <c r="A107" t="s">
        <v>45</v>
      </c>
      <c r="E107">
        <v>488</v>
      </c>
      <c r="F107" t="s">
        <v>24</v>
      </c>
    </row>
    <row r="108" spans="1:12" x14ac:dyDescent="0.2">
      <c r="A108" t="s">
        <v>46</v>
      </c>
      <c r="E108">
        <v>520</v>
      </c>
      <c r="F108" t="s">
        <v>24</v>
      </c>
    </row>
    <row r="109" spans="1:12" x14ac:dyDescent="0.2">
      <c r="A109" t="s">
        <v>47</v>
      </c>
      <c r="E109">
        <v>9</v>
      </c>
      <c r="F109" t="s">
        <v>24</v>
      </c>
    </row>
    <row r="110" spans="1:12" x14ac:dyDescent="0.2">
      <c r="A110" t="s">
        <v>48</v>
      </c>
      <c r="E110">
        <v>20</v>
      </c>
      <c r="F110" t="s">
        <v>24</v>
      </c>
    </row>
    <row r="111" spans="1:12" x14ac:dyDescent="0.2">
      <c r="A111" t="s">
        <v>49</v>
      </c>
      <c r="E111">
        <v>100</v>
      </c>
      <c r="F111" t="s">
        <v>50</v>
      </c>
    </row>
    <row r="112" spans="1:12" x14ac:dyDescent="0.2">
      <c r="A112" t="s">
        <v>26</v>
      </c>
      <c r="E112">
        <v>25</v>
      </c>
    </row>
    <row r="113" spans="1:12" x14ac:dyDescent="0.2">
      <c r="A113" t="s">
        <v>51</v>
      </c>
      <c r="E113">
        <v>20</v>
      </c>
      <c r="F113" t="s">
        <v>52</v>
      </c>
    </row>
    <row r="114" spans="1:12" x14ac:dyDescent="0.2">
      <c r="A114" t="s">
        <v>53</v>
      </c>
      <c r="E114">
        <v>0</v>
      </c>
      <c r="F114" t="s">
        <v>52</v>
      </c>
    </row>
    <row r="115" spans="1:12" x14ac:dyDescent="0.2">
      <c r="A115" t="s">
        <v>27</v>
      </c>
      <c r="E115">
        <v>0</v>
      </c>
      <c r="F115" t="s">
        <v>28</v>
      </c>
    </row>
    <row r="116" spans="1:12" x14ac:dyDescent="0.2">
      <c r="A116" t="s">
        <v>54</v>
      </c>
      <c r="E116">
        <v>20000</v>
      </c>
      <c r="F116" t="s">
        <v>55</v>
      </c>
    </row>
    <row r="117" spans="1:12" x14ac:dyDescent="0.2">
      <c r="A117" t="s">
        <v>29</v>
      </c>
      <c r="E117" t="s">
        <v>30</v>
      </c>
    </row>
    <row r="118" spans="1:12" x14ac:dyDescent="0.2">
      <c r="A118" t="s">
        <v>31</v>
      </c>
      <c r="B118" s="2" t="s">
        <v>62</v>
      </c>
    </row>
    <row r="120" spans="1:12" x14ac:dyDescent="0.2">
      <c r="B120" t="s">
        <v>32</v>
      </c>
    </row>
    <row r="121" spans="1:12" x14ac:dyDescent="0.2">
      <c r="A121" s="4" t="s">
        <v>33</v>
      </c>
      <c r="B121" s="4">
        <v>2</v>
      </c>
      <c r="C121" s="4">
        <v>3</v>
      </c>
      <c r="D121" s="4">
        <v>4</v>
      </c>
      <c r="E121" s="4">
        <v>5</v>
      </c>
      <c r="F121" s="4">
        <v>6</v>
      </c>
      <c r="G121" s="4">
        <v>7</v>
      </c>
      <c r="H121" s="4">
        <v>8</v>
      </c>
      <c r="I121" s="4">
        <v>9</v>
      </c>
      <c r="J121" s="4">
        <v>10</v>
      </c>
      <c r="K121" s="4">
        <v>11</v>
      </c>
      <c r="L121" s="4">
        <v>12</v>
      </c>
    </row>
    <row r="122" spans="1:12" x14ac:dyDescent="0.2">
      <c r="A122" s="4" t="s">
        <v>34</v>
      </c>
      <c r="B122">
        <v>11034</v>
      </c>
      <c r="C122">
        <v>53371</v>
      </c>
      <c r="D122">
        <v>35151</v>
      </c>
      <c r="E122">
        <v>27260</v>
      </c>
      <c r="F122">
        <v>16068</v>
      </c>
      <c r="G122">
        <v>14882</v>
      </c>
      <c r="H122">
        <v>60379</v>
      </c>
      <c r="I122">
        <v>28152</v>
      </c>
      <c r="J122">
        <v>40032</v>
      </c>
      <c r="K122">
        <v>17595</v>
      </c>
      <c r="L122">
        <v>10496</v>
      </c>
    </row>
    <row r="123" spans="1:12" x14ac:dyDescent="0.2">
      <c r="A123" s="4" t="s">
        <v>35</v>
      </c>
      <c r="B123">
        <v>12397</v>
      </c>
      <c r="C123">
        <v>61218</v>
      </c>
      <c r="D123">
        <v>40098</v>
      </c>
      <c r="E123">
        <v>20779</v>
      </c>
      <c r="F123">
        <v>16548</v>
      </c>
      <c r="G123">
        <v>14425</v>
      </c>
      <c r="H123">
        <v>59955</v>
      </c>
      <c r="I123">
        <v>46905</v>
      </c>
      <c r="J123">
        <v>40967</v>
      </c>
      <c r="K123">
        <v>16907</v>
      </c>
      <c r="L123">
        <v>10670</v>
      </c>
    </row>
    <row r="124" spans="1:12" x14ac:dyDescent="0.2">
      <c r="A124" s="4" t="s">
        <v>36</v>
      </c>
      <c r="B124">
        <v>11540</v>
      </c>
      <c r="C124">
        <v>57297</v>
      </c>
      <c r="D124">
        <v>36983</v>
      </c>
      <c r="E124">
        <v>36926</v>
      </c>
      <c r="F124">
        <v>16074</v>
      </c>
      <c r="G124">
        <v>14098</v>
      </c>
      <c r="H124">
        <v>54311</v>
      </c>
      <c r="I124">
        <v>41464</v>
      </c>
      <c r="J124">
        <v>42207</v>
      </c>
      <c r="K124">
        <v>16071</v>
      </c>
      <c r="L124">
        <v>10697</v>
      </c>
    </row>
    <row r="125" spans="1:12" x14ac:dyDescent="0.2">
      <c r="A125" s="4" t="s">
        <v>37</v>
      </c>
      <c r="B125">
        <v>11920</v>
      </c>
      <c r="C125">
        <v>60577</v>
      </c>
      <c r="D125">
        <v>29657</v>
      </c>
      <c r="E125">
        <v>41629</v>
      </c>
      <c r="F125">
        <v>16301</v>
      </c>
      <c r="G125">
        <v>15206</v>
      </c>
      <c r="H125">
        <v>57403</v>
      </c>
      <c r="I125">
        <v>34796</v>
      </c>
      <c r="J125">
        <v>40031</v>
      </c>
      <c r="K125">
        <v>18665</v>
      </c>
      <c r="L125">
        <v>924</v>
      </c>
    </row>
    <row r="126" spans="1:12" x14ac:dyDescent="0.2">
      <c r="A126" s="4" t="s">
        <v>38</v>
      </c>
      <c r="B126">
        <v>11592</v>
      </c>
      <c r="C126">
        <v>58380</v>
      </c>
      <c r="D126">
        <v>28982</v>
      </c>
      <c r="E126">
        <v>44703</v>
      </c>
      <c r="F126">
        <v>12592</v>
      </c>
      <c r="G126">
        <v>15541</v>
      </c>
      <c r="H126">
        <v>57795</v>
      </c>
      <c r="I126">
        <v>34531</v>
      </c>
      <c r="J126">
        <v>30949</v>
      </c>
      <c r="K126">
        <v>17671</v>
      </c>
      <c r="L126">
        <v>913</v>
      </c>
    </row>
    <row r="131" spans="1:2" x14ac:dyDescent="0.2">
      <c r="A131" t="s">
        <v>39</v>
      </c>
      <c r="B131" s="2" t="s">
        <v>63</v>
      </c>
    </row>
  </sheetData>
  <mergeCells count="4">
    <mergeCell ref="N67:Q67"/>
    <mergeCell ref="S67:V67"/>
    <mergeCell ref="N68:R68"/>
    <mergeCell ref="S68:W68"/>
  </mergeCells>
  <conditionalFormatting sqref="N83:W83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2026-03-10T02:50:50Z</dcterms:modified>
</cp:coreProperties>
</file>