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48181060-ABF1-E24F-A10C-423220FDD04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8" i="4" l="1"/>
  <c r="P78" i="4"/>
  <c r="O78" i="4"/>
  <c r="N78" i="4"/>
  <c r="W76" i="4"/>
  <c r="W78" i="4" s="1"/>
  <c r="V76" i="4"/>
  <c r="V78" i="4" s="1"/>
  <c r="U76" i="4"/>
  <c r="U78" i="4" s="1"/>
  <c r="T76" i="4"/>
  <c r="T78" i="4" s="1"/>
  <c r="S76" i="4"/>
  <c r="S78" i="4" s="1"/>
  <c r="R76" i="4"/>
  <c r="R78" i="4" s="1"/>
  <c r="Q76" i="4"/>
  <c r="P76" i="4"/>
  <c r="O76" i="4"/>
  <c r="N76" i="4"/>
  <c r="W33" i="4"/>
  <c r="V33" i="4"/>
  <c r="U33" i="4"/>
  <c r="T33" i="4"/>
  <c r="S33" i="4"/>
  <c r="R33" i="4"/>
  <c r="Q33" i="4"/>
  <c r="P33" i="4"/>
  <c r="P74" i="4" s="1"/>
  <c r="O33" i="4"/>
  <c r="W32" i="4"/>
  <c r="V32" i="4"/>
  <c r="U32" i="4"/>
  <c r="T32" i="4"/>
  <c r="S32" i="4"/>
  <c r="R32" i="4"/>
  <c r="Q32" i="4"/>
  <c r="P32" i="4"/>
  <c r="O32" i="4"/>
  <c r="W31" i="4"/>
  <c r="V31" i="4"/>
  <c r="U31" i="4"/>
  <c r="T31" i="4"/>
  <c r="S31" i="4"/>
  <c r="R31" i="4"/>
  <c r="Q31" i="4"/>
  <c r="P31" i="4"/>
  <c r="O31" i="4"/>
  <c r="W30" i="4"/>
  <c r="V30" i="4"/>
  <c r="U30" i="4"/>
  <c r="T30" i="4"/>
  <c r="S30" i="4"/>
  <c r="R30" i="4"/>
  <c r="Q30" i="4"/>
  <c r="P30" i="4"/>
  <c r="O30" i="4"/>
  <c r="W29" i="4"/>
  <c r="V29" i="4"/>
  <c r="U29" i="4"/>
  <c r="T29" i="4"/>
  <c r="S29" i="4"/>
  <c r="R29" i="4"/>
  <c r="Q29" i="4"/>
  <c r="P29" i="4"/>
  <c r="O29" i="4"/>
  <c r="N33" i="4"/>
  <c r="N32" i="4"/>
  <c r="N31" i="4"/>
  <c r="N30" i="4"/>
  <c r="N29" i="4"/>
  <c r="W95" i="4"/>
  <c r="V95" i="4"/>
  <c r="U95" i="4"/>
  <c r="T95" i="4"/>
  <c r="S95" i="4"/>
  <c r="R95" i="4"/>
  <c r="R74" i="4" s="1"/>
  <c r="Q95" i="4"/>
  <c r="P95" i="4"/>
  <c r="O95" i="4"/>
  <c r="O74" i="4" s="1"/>
  <c r="W94" i="4"/>
  <c r="W73" i="4" s="1"/>
  <c r="V94" i="4"/>
  <c r="V73" i="4" s="1"/>
  <c r="U94" i="4"/>
  <c r="U73" i="4" s="1"/>
  <c r="T94" i="4"/>
  <c r="T73" i="4" s="1"/>
  <c r="S94" i="4"/>
  <c r="S73" i="4" s="1"/>
  <c r="R94" i="4"/>
  <c r="Q94" i="4"/>
  <c r="P94" i="4"/>
  <c r="O94" i="4"/>
  <c r="W93" i="4"/>
  <c r="V93" i="4"/>
  <c r="U93" i="4"/>
  <c r="T93" i="4"/>
  <c r="S93" i="4"/>
  <c r="R93" i="4"/>
  <c r="R72" i="4" s="1"/>
  <c r="Q93" i="4"/>
  <c r="Q72" i="4" s="1"/>
  <c r="P93" i="4"/>
  <c r="P72" i="4" s="1"/>
  <c r="O93" i="4"/>
  <c r="O72" i="4" s="1"/>
  <c r="W92" i="4"/>
  <c r="W71" i="4" s="1"/>
  <c r="V92" i="4"/>
  <c r="V71" i="4" s="1"/>
  <c r="U92" i="4"/>
  <c r="U71" i="4" s="1"/>
  <c r="T92" i="4"/>
  <c r="S92" i="4"/>
  <c r="R92" i="4"/>
  <c r="Q92" i="4"/>
  <c r="P92" i="4"/>
  <c r="O92" i="4"/>
  <c r="W91" i="4"/>
  <c r="V91" i="4"/>
  <c r="U91" i="4"/>
  <c r="U70" i="4" s="1"/>
  <c r="T91" i="4"/>
  <c r="T70" i="4" s="1"/>
  <c r="S91" i="4"/>
  <c r="S70" i="4" s="1"/>
  <c r="R91" i="4"/>
  <c r="R70" i="4" s="1"/>
  <c r="Q91" i="4"/>
  <c r="Q70" i="4" s="1"/>
  <c r="P91" i="4"/>
  <c r="P70" i="4" s="1"/>
  <c r="O91" i="4"/>
  <c r="O70" i="4" s="1"/>
  <c r="N95" i="4"/>
  <c r="N74" i="4" s="1"/>
  <c r="N94" i="4"/>
  <c r="N93" i="4"/>
  <c r="N92" i="4"/>
  <c r="N71" i="4" s="1"/>
  <c r="N91" i="4"/>
  <c r="W74" i="4"/>
  <c r="V74" i="4"/>
  <c r="U74" i="4"/>
  <c r="T74" i="4"/>
  <c r="S74" i="4"/>
  <c r="Q74" i="4"/>
  <c r="P73" i="4"/>
  <c r="O73" i="4"/>
  <c r="N73" i="4"/>
  <c r="W72" i="4"/>
  <c r="V72" i="4"/>
  <c r="U72" i="4"/>
  <c r="T72" i="4"/>
  <c r="S72" i="4"/>
  <c r="N72" i="4"/>
  <c r="R71" i="4"/>
  <c r="Q71" i="4"/>
  <c r="P71" i="4"/>
  <c r="O71" i="4"/>
  <c r="W70" i="4"/>
  <c r="V70" i="4"/>
  <c r="N70" i="4"/>
  <c r="L97" i="4"/>
  <c r="L35" i="4"/>
  <c r="S71" i="4" l="1"/>
  <c r="Q73" i="4"/>
  <c r="T71" i="4"/>
  <c r="R7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<sst xmlns="http://schemas.openxmlformats.org/spreadsheetml/2006/main" count="161" uniqueCount="72">
  <si>
    <t>&lt;&gt;</t>
  </si>
  <si>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</si>
  <si>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</si>
  <si>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</si>
  <si>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</si>
  <si>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</si>
  <si>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</si>
  <si>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</si>
  <si>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</si>
  <si>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</si>
  <si>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</si>
  <si>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</si>
  <si>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</si>
  <si>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</si>
  <si>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</si>
  <si>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</si>
  <si>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</si>
  <si>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</si>
  <si>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</si>
  <si>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</si>
  <si>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</si>
  <si>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</si>
  <si>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</si>
  <si>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</si>
  <si>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</si>
  <si>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</si>
  <si>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</si>
  <si>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</si>
  <si>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</si>
  <si>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</si>
  <si>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</si>
  <si>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Start Time:</t>
  </si>
  <si>
    <t>B</t>
  </si>
  <si>
    <t>C</t>
  </si>
  <si>
    <t>End Time:</t>
  </si>
  <si>
    <t>D</t>
  </si>
  <si>
    <t>4:29:26 PM</t>
  </si>
  <si>
    <t>B2-F12</t>
  </si>
  <si>
    <t>9/13/2025 4:29:31 PM</t>
  </si>
  <si>
    <t>Temperature: 27.2 °C</t>
  </si>
  <si>
    <t>E</t>
  </si>
  <si>
    <t>F</t>
  </si>
  <si>
    <t>9/13/2025 4:29:57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</si>
  <si>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</si>
  <si>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</si>
  <si>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</si>
  <si>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</si>
  <si>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</si>
  <si>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</si>
  <si>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</si>
  <si>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</si>
  <si>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</si>
  <si>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</si>
  <si>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</si>
  <si>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</si>
  <si>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</si>
  <si>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9/13/2025 4:30:02 PM</t>
  </si>
  <si>
    <t>Temperature: 27.3 °C</t>
  </si>
  <si>
    <t>9/13/2025 4:30:50 PM</t>
  </si>
  <si>
    <t>Label: gfp 80</t>
  </si>
  <si>
    <t>9/13/2025 4:30:57 PM</t>
  </si>
  <si>
    <t>9/13/2025 4:31:46 PM</t>
  </si>
  <si>
    <t>Label: gfp100</t>
  </si>
  <si>
    <t>9/13/2025 4:31:53 PM</t>
  </si>
  <si>
    <t>9/13/2025 4:32:41 PM</t>
  </si>
  <si>
    <t>Kan+</t>
  </si>
  <si>
    <t>Kan-</t>
  </si>
  <si>
    <t>p15A</t>
  </si>
  <si>
    <t>pBR</t>
  </si>
  <si>
    <t>CloDF</t>
  </si>
  <si>
    <t>pUC</t>
  </si>
  <si>
    <t>p15A,++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</si>
</sst>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</cellStyleXfs>
  <cellXfs count="1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quotePrefix="1"/>
    <xf numFmtId="0" fontId="0" fillId="7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1"/>
  <sheetViews>
    <sheetView tabSelected="1" topLeftCell="A59" workbookViewId="0">
      <selection activeCell="J80" sqref="J80"/>
    </sheetView>
  </sheetViews>
  <sheetFormatPr baseColWidth="10" defaultColWidth="8.83203125" defaultRowHeight="15" x14ac:dyDescent="0.2"/>
  <sheetData>
    <row r="1" spans="1:12" x14ac:dyDescent="0.2">
      <c r="A1" t="s">
        <v>1</v>
      </c>
      <c r="E1" t="s">
        <v>2</v>
      </c>
    </row>
    <row r="2" spans="1:12" x14ac:dyDescent="0.2">
      <c r="A2" t="s">
        <v>3</v>
      </c>
      <c r="E2" t="s">
        <v>4</v>
      </c>
      <c r="I2" t="s">
        <v>5</v>
      </c>
    </row>
    <row r="3" spans="1:12" x14ac:dyDescent="0.2">
      <c r="A3" t="s">
        <v>6</v>
      </c>
      <c r="E3" t="s">
        <v>7</v>
      </c>
    </row>
    <row r="5" spans="1:12" x14ac:dyDescent="0.2">
      <c r="A5" t="s">
        <v>8</v>
      </c>
      <c r="B5" s="2">
        <v>45913</v>
      </c>
    </row>
    <row r="6" spans="1:12" x14ac:dyDescent="0.2">
      <c r="A6" t="s">
        <v>9</v>
      </c>
      <c r="B6" s="3" t="s">
        <v>36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4" t="s">
        <v>17</v>
      </c>
      <c r="B14" s="4"/>
      <c r="C14" s="4"/>
      <c r="D14" s="4"/>
      <c r="E14" s="4">
        <v>5</v>
      </c>
      <c r="F14" s="4" t="s">
        <v>18</v>
      </c>
      <c r="G14" s="4"/>
      <c r="H14" s="4"/>
      <c r="I14" s="4"/>
      <c r="J14" s="4"/>
      <c r="K14" s="4"/>
      <c r="L14" s="4"/>
    </row>
    <row r="15" spans="1:12" x14ac:dyDescent="0.2">
      <c r="A15" s="4" t="s">
        <v>19</v>
      </c>
      <c r="B15" s="4"/>
      <c r="C15" s="4"/>
      <c r="D15" s="4"/>
      <c r="E15" s="4">
        <v>2</v>
      </c>
      <c r="F15" s="4" t="s">
        <v>20</v>
      </c>
      <c r="G15" s="4"/>
      <c r="H15" s="4"/>
      <c r="I15" s="4"/>
      <c r="J15" s="4"/>
      <c r="K15" s="4"/>
      <c r="L15" s="4"/>
    </row>
    <row r="18" spans="1:23" x14ac:dyDescent="0.2">
      <c r="A18" t="s">
        <v>21</v>
      </c>
    </row>
    <row r="19" spans="1:23" x14ac:dyDescent="0.2">
      <c r="A19" t="s">
        <v>22</v>
      </c>
      <c r="E19" t="s">
        <v>23</v>
      </c>
    </row>
    <row r="20" spans="1:23" x14ac:dyDescent="0.2">
      <c r="A20" t="s">
        <v>24</v>
      </c>
      <c r="E20">
        <v>600</v>
      </c>
      <c r="F20" t="s">
        <v>25</v>
      </c>
    </row>
    <row r="21" spans="1:23" x14ac:dyDescent="0.2">
      <c r="A21" t="s">
        <v>26</v>
      </c>
      <c r="E21">
        <v>9</v>
      </c>
      <c r="F21" t="s">
        <v>25</v>
      </c>
    </row>
    <row r="22" spans="1:23" x14ac:dyDescent="0.2">
      <c r="A22" t="s">
        <v>27</v>
      </c>
      <c r="E22">
        <v>10</v>
      </c>
    </row>
    <row r="23" spans="1:23" x14ac:dyDescent="0.2">
      <c r="A23" t="s">
        <v>28</v>
      </c>
      <c r="E23">
        <v>0</v>
      </c>
      <c r="F23" t="s">
        <v>29</v>
      </c>
    </row>
    <row r="24" spans="1:23" x14ac:dyDescent="0.2">
      <c r="A24" t="s">
        <v>30</v>
      </c>
      <c r="E24" t="s">
        <v>37</v>
      </c>
    </row>
    <row r="25" spans="1:23" x14ac:dyDescent="0.2">
      <c r="A25" t="s">
        <v>31</v>
      </c>
      <c r="B25" s="3" t="s">
        <v>38</v>
      </c>
    </row>
    <row r="27" spans="1:23" x14ac:dyDescent="0.2">
      <c r="B27" t="s">
        <v>39</v>
      </c>
    </row>
    <row r="28" spans="1:23" x14ac:dyDescent="0.2">
      <c r="A28" s="1" t="s">
        <v>0</v>
      </c>
      <c r="B28" s="1">
        <v>2</v>
      </c>
      <c r="C28" s="1">
        <v>3</v>
      </c>
      <c r="D28" s="1">
        <v>4</v>
      </c>
      <c r="E28" s="1">
        <v>5</v>
      </c>
      <c r="F28" s="1">
        <v>6</v>
      </c>
      <c r="G28" s="1">
        <v>7</v>
      </c>
      <c r="H28" s="1">
        <v>8</v>
      </c>
      <c r="I28" s="1">
        <v>9</v>
      </c>
      <c r="J28" s="1">
        <v>10</v>
      </c>
      <c r="K28" s="1">
        <v>11</v>
      </c>
      <c r="L28" s="1">
        <v>12</v>
      </c>
    </row>
    <row r="29" spans="1:23" x14ac:dyDescent="0.2">
      <c r="A29" s="1" t="s">
        <v>32</v>
      </c>
      <c r="B29">
        <v>1.0937999486923218</v>
      </c>
      <c r="C29">
        <v>1.0362000465393066</v>
      </c>
      <c r="D29">
        <v>1.0368000268936157</v>
      </c>
      <c r="E29">
        <v>0.97100001573562622</v>
      </c>
      <c r="F29">
        <v>1.114300012588501</v>
      </c>
      <c r="G29">
        <v>1.1021000146865845</v>
      </c>
      <c r="H29">
        <v>1.0967999696731567</v>
      </c>
      <c r="I29">
        <v>1.0498000383377075</v>
      </c>
      <c r="J29">
        <v>1.0046999454498291</v>
      </c>
      <c r="K29">
        <v>0.92220002412796021</v>
      </c>
      <c r="L29">
        <v>3.9999999105930328E-2</v>
      </c>
      <c r="N29">
        <f t="shared" ref="N29:W33" si="0">B29-0.04</f>
        <v>1.0537999486923217</v>
      </c>
      <c r="O29">
        <f t="shared" si="0"/>
        <v>0.99620004653930661</v>
      </c>
      <c r="P29">
        <f t="shared" si="0"/>
        <v>0.99680002689361569</v>
      </c>
      <c r="Q29">
        <f t="shared" si="0"/>
        <v>0.93100001573562619</v>
      </c>
      <c r="R29">
        <f t="shared" si="0"/>
        <v>1.0743000125885009</v>
      </c>
      <c r="S29">
        <f t="shared" si="0"/>
        <v>1.0621000146865844</v>
      </c>
      <c r="T29">
        <f t="shared" si="0"/>
        <v>1.0567999696731567</v>
      </c>
      <c r="U29">
        <f t="shared" si="0"/>
        <v>1.0098000383377075</v>
      </c>
      <c r="V29">
        <f t="shared" si="0"/>
        <v>0.96469994544982907</v>
      </c>
      <c r="W29">
        <f t="shared" si="0"/>
        <v>0.88220002412796017</v>
      </c>
    </row>
    <row r="30" spans="1:23" x14ac:dyDescent="0.2">
      <c r="A30" s="1" t="s">
        <v>33</v>
      </c>
      <c r="B30">
        <v>1.0979000329971313</v>
      </c>
      <c r="C30">
        <v>0.96729999780654907</v>
      </c>
      <c r="D30">
        <v>0.9771999716758728</v>
      </c>
      <c r="E30">
        <v>0.8026999831199646</v>
      </c>
      <c r="F30">
        <v>1.1592999696731567</v>
      </c>
      <c r="G30">
        <v>1.0920000076293945</v>
      </c>
      <c r="H30">
        <v>0.99940001964569092</v>
      </c>
      <c r="I30">
        <v>0.85250002145767212</v>
      </c>
      <c r="J30">
        <v>1.1021000146865845</v>
      </c>
      <c r="K30">
        <v>1.1110999584197998</v>
      </c>
      <c r="L30">
        <v>3.9500001817941666E-2</v>
      </c>
      <c r="N30">
        <f t="shared" si="0"/>
        <v>1.0579000329971313</v>
      </c>
      <c r="O30">
        <f t="shared" si="0"/>
        <v>0.92729999780654904</v>
      </c>
      <c r="P30">
        <f t="shared" si="0"/>
        <v>0.93719997167587277</v>
      </c>
      <c r="Q30">
        <f t="shared" si="0"/>
        <v>0.76269998311996456</v>
      </c>
      <c r="R30">
        <f t="shared" si="0"/>
        <v>1.1192999696731567</v>
      </c>
      <c r="S30">
        <f t="shared" si="0"/>
        <v>1.0520000076293945</v>
      </c>
      <c r="T30">
        <f t="shared" si="0"/>
        <v>0.95940001964569088</v>
      </c>
      <c r="U30">
        <f t="shared" si="0"/>
        <v>0.81250002145767208</v>
      </c>
      <c r="V30">
        <f t="shared" si="0"/>
        <v>1.0621000146865844</v>
      </c>
      <c r="W30">
        <f t="shared" si="0"/>
        <v>1.0710999584197998</v>
      </c>
    </row>
    <row r="31" spans="1:23" x14ac:dyDescent="0.2">
      <c r="A31" s="1" t="s">
        <v>35</v>
      </c>
      <c r="B31">
        <v>1.0680999755859375</v>
      </c>
      <c r="C31">
        <v>1.0587999820709229</v>
      </c>
      <c r="D31">
        <v>0.86220002174377441</v>
      </c>
      <c r="E31">
        <v>0.96640002727508545</v>
      </c>
      <c r="F31">
        <v>0.8091999888420105</v>
      </c>
      <c r="G31">
        <v>1.0685000419616699</v>
      </c>
      <c r="H31">
        <v>1.0289000272750854</v>
      </c>
      <c r="I31">
        <v>0.83490002155303955</v>
      </c>
      <c r="J31">
        <v>1.0520999431610107</v>
      </c>
      <c r="K31">
        <v>1.0276000499725342</v>
      </c>
      <c r="L31">
        <v>3.9799999445676804E-2</v>
      </c>
      <c r="N31">
        <f t="shared" si="0"/>
        <v>1.0280999755859375</v>
      </c>
      <c r="O31">
        <f t="shared" si="0"/>
        <v>1.0187999820709228</v>
      </c>
      <c r="P31">
        <f t="shared" si="0"/>
        <v>0.82220002174377438</v>
      </c>
      <c r="Q31">
        <f t="shared" si="0"/>
        <v>0.92640002727508541</v>
      </c>
      <c r="R31">
        <f t="shared" si="0"/>
        <v>0.76919998884201046</v>
      </c>
      <c r="S31">
        <f t="shared" si="0"/>
        <v>1.0285000419616699</v>
      </c>
      <c r="T31">
        <f t="shared" si="0"/>
        <v>0.98890002727508541</v>
      </c>
      <c r="U31">
        <f t="shared" si="0"/>
        <v>0.79490002155303952</v>
      </c>
      <c r="V31">
        <f t="shared" si="0"/>
        <v>1.0120999431610107</v>
      </c>
      <c r="W31">
        <f t="shared" si="0"/>
        <v>0.98760004997253414</v>
      </c>
    </row>
    <row r="32" spans="1:23" x14ac:dyDescent="0.2">
      <c r="A32" s="1" t="s">
        <v>40</v>
      </c>
      <c r="B32">
        <v>0.86870002746582031</v>
      </c>
      <c r="C32">
        <v>0.96780002117156982</v>
      </c>
      <c r="D32">
        <v>0.9132000207901001</v>
      </c>
      <c r="E32">
        <v>0.9100000262260437</v>
      </c>
      <c r="F32">
        <v>0.97780001163482666</v>
      </c>
      <c r="G32">
        <v>0.97350001335144043</v>
      </c>
      <c r="H32">
        <v>1.0608999729156494</v>
      </c>
      <c r="I32">
        <v>1.0527000427246094</v>
      </c>
      <c r="J32">
        <v>1.0520000457763672</v>
      </c>
      <c r="K32">
        <v>1.1019999980926514</v>
      </c>
      <c r="L32">
        <v>4.5299999415874481E-2</v>
      </c>
      <c r="N32">
        <f t="shared" si="0"/>
        <v>0.82870002746582028</v>
      </c>
      <c r="O32">
        <f t="shared" si="0"/>
        <v>0.92780002117156979</v>
      </c>
      <c r="P32">
        <f t="shared" si="0"/>
        <v>0.87320002079010006</v>
      </c>
      <c r="Q32">
        <f t="shared" si="0"/>
        <v>0.87000002622604367</v>
      </c>
      <c r="R32">
        <f t="shared" si="0"/>
        <v>0.93780001163482662</v>
      </c>
      <c r="S32">
        <f t="shared" si="0"/>
        <v>0.93350001335144039</v>
      </c>
      <c r="T32">
        <f t="shared" si="0"/>
        <v>1.0208999729156494</v>
      </c>
      <c r="U32">
        <f t="shared" si="0"/>
        <v>1.0127000427246093</v>
      </c>
      <c r="V32">
        <f t="shared" si="0"/>
        <v>1.0120000457763672</v>
      </c>
      <c r="W32">
        <f t="shared" si="0"/>
        <v>1.0619999980926513</v>
      </c>
    </row>
    <row r="33" spans="1:23" x14ac:dyDescent="0.2">
      <c r="A33" s="1" t="s">
        <v>41</v>
      </c>
      <c r="B33">
        <v>0.92460000514984131</v>
      </c>
      <c r="C33">
        <v>0.70990002155303955</v>
      </c>
      <c r="D33">
        <v>0.84700000286102295</v>
      </c>
      <c r="E33">
        <v>0.84710001945495605</v>
      </c>
      <c r="F33">
        <v>1.0426000356674194</v>
      </c>
      <c r="G33">
        <v>0.99639999866485596</v>
      </c>
      <c r="H33">
        <v>0.92009997367858887</v>
      </c>
      <c r="I33">
        <v>0.93360000848770142</v>
      </c>
      <c r="J33">
        <v>1.0023000240325928</v>
      </c>
      <c r="K33">
        <v>0.92129999399185181</v>
      </c>
      <c r="L33">
        <v>4.4599998742341995E-2</v>
      </c>
      <c r="N33">
        <f t="shared" si="0"/>
        <v>0.88460000514984127</v>
      </c>
      <c r="O33">
        <f t="shared" si="0"/>
        <v>0.66990002155303952</v>
      </c>
      <c r="P33">
        <f t="shared" si="0"/>
        <v>0.80700000286102291</v>
      </c>
      <c r="Q33">
        <f t="shared" si="0"/>
        <v>0.80710001945495602</v>
      </c>
      <c r="R33">
        <f t="shared" si="0"/>
        <v>1.0026000356674194</v>
      </c>
      <c r="S33">
        <f t="shared" si="0"/>
        <v>0.95639999866485592</v>
      </c>
      <c r="T33">
        <f t="shared" si="0"/>
        <v>0.88009997367858883</v>
      </c>
      <c r="U33">
        <f t="shared" si="0"/>
        <v>0.89360000848770138</v>
      </c>
      <c r="V33">
        <f t="shared" si="0"/>
        <v>0.96230002403259274</v>
      </c>
      <c r="W33">
        <f t="shared" si="0"/>
        <v>0.88129999399185177</v>
      </c>
    </row>
    <row r="35" spans="1:23" x14ac:dyDescent="0.2">
      <c r="L35">
        <f>AVERAGE(L29:L31)</f>
        <v>3.9766666789849602E-2</v>
      </c>
    </row>
    <row r="38" spans="1:23" x14ac:dyDescent="0.2">
      <c r="A38" t="s">
        <v>34</v>
      </c>
      <c r="B38" s="3" t="s">
        <v>42</v>
      </c>
    </row>
    <row r="43" spans="1:23" x14ac:dyDescent="0.2">
      <c r="A43" t="s">
        <v>43</v>
      </c>
    </row>
    <row r="44" spans="1:23" x14ac:dyDescent="0.2">
      <c r="A44" t="s">
        <v>22</v>
      </c>
      <c r="E44" t="s">
        <v>44</v>
      </c>
    </row>
    <row r="45" spans="1:23" x14ac:dyDescent="0.2">
      <c r="A45" t="s">
        <v>45</v>
      </c>
      <c r="E45">
        <v>488</v>
      </c>
      <c r="F45" t="s">
        <v>25</v>
      </c>
    </row>
    <row r="46" spans="1:23" x14ac:dyDescent="0.2">
      <c r="A46" t="s">
        <v>46</v>
      </c>
      <c r="E46">
        <v>520</v>
      </c>
      <c r="F46" t="s">
        <v>25</v>
      </c>
    </row>
    <row r="47" spans="1:23" x14ac:dyDescent="0.2">
      <c r="A47" t="s">
        <v>47</v>
      </c>
      <c r="E47">
        <v>9</v>
      </c>
      <c r="F47" t="s">
        <v>25</v>
      </c>
    </row>
    <row r="48" spans="1:23" x14ac:dyDescent="0.2">
      <c r="A48" t="s">
        <v>48</v>
      </c>
      <c r="E48">
        <v>20</v>
      </c>
      <c r="F48" t="s">
        <v>25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27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28</v>
      </c>
      <c r="E53">
        <v>0</v>
      </c>
      <c r="F53" t="s">
        <v>29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30</v>
      </c>
      <c r="E55" t="s">
        <v>37</v>
      </c>
    </row>
    <row r="56" spans="1:12" x14ac:dyDescent="0.2">
      <c r="A56" t="s">
        <v>31</v>
      </c>
      <c r="B56" s="3" t="s">
        <v>56</v>
      </c>
    </row>
    <row r="58" spans="1:12" x14ac:dyDescent="0.2">
      <c r="B58" t="s">
        <v>57</v>
      </c>
    </row>
    <row r="59" spans="1:12" x14ac:dyDescent="0.2">
      <c r="A59" s="1" t="s">
        <v>0</v>
      </c>
      <c r="B59" s="1">
        <v>2</v>
      </c>
      <c r="C59" s="1">
        <v>3</v>
      </c>
      <c r="D59" s="1">
        <v>4</v>
      </c>
      <c r="E59" s="1">
        <v>5</v>
      </c>
      <c r="F59" s="1">
        <v>6</v>
      </c>
      <c r="G59" s="1">
        <v>7</v>
      </c>
      <c r="H59" s="1">
        <v>8</v>
      </c>
      <c r="I59" s="1">
        <v>9</v>
      </c>
      <c r="J59" s="1">
        <v>10</v>
      </c>
      <c r="K59" s="1">
        <v>11</v>
      </c>
      <c r="L59" s="1">
        <v>12</v>
      </c>
    </row>
    <row r="60" spans="1:12" x14ac:dyDescent="0.2">
      <c r="A60" s="1" t="s">
        <v>32</v>
      </c>
      <c r="B60">
        <v>77</v>
      </c>
      <c r="C60">
        <v>361</v>
      </c>
      <c r="D60">
        <v>415</v>
      </c>
      <c r="E60">
        <v>176</v>
      </c>
      <c r="F60">
        <v>98</v>
      </c>
      <c r="G60">
        <v>78</v>
      </c>
      <c r="H60">
        <v>398</v>
      </c>
      <c r="I60">
        <v>402</v>
      </c>
      <c r="J60">
        <v>88</v>
      </c>
      <c r="K60">
        <v>82</v>
      </c>
      <c r="L60">
        <v>51</v>
      </c>
    </row>
    <row r="61" spans="1:12" x14ac:dyDescent="0.2">
      <c r="A61" s="1" t="s">
        <v>33</v>
      </c>
      <c r="B61">
        <v>79</v>
      </c>
      <c r="C61">
        <v>344</v>
      </c>
      <c r="D61">
        <v>403</v>
      </c>
      <c r="E61">
        <v>125</v>
      </c>
      <c r="F61">
        <v>100</v>
      </c>
      <c r="G61">
        <v>78</v>
      </c>
      <c r="H61">
        <v>366</v>
      </c>
      <c r="I61">
        <v>281</v>
      </c>
      <c r="J61">
        <v>106</v>
      </c>
      <c r="K61">
        <v>100</v>
      </c>
      <c r="L61">
        <v>50</v>
      </c>
    </row>
    <row r="62" spans="1:12" x14ac:dyDescent="0.2">
      <c r="A62" s="1" t="s">
        <v>35</v>
      </c>
      <c r="B62">
        <v>77</v>
      </c>
      <c r="C62">
        <v>374</v>
      </c>
      <c r="D62">
        <v>330</v>
      </c>
      <c r="E62">
        <v>168</v>
      </c>
      <c r="F62">
        <v>80</v>
      </c>
      <c r="G62">
        <v>79</v>
      </c>
      <c r="H62">
        <v>365</v>
      </c>
      <c r="I62">
        <v>291</v>
      </c>
      <c r="J62">
        <v>96</v>
      </c>
      <c r="K62">
        <v>96</v>
      </c>
      <c r="L62">
        <v>51</v>
      </c>
    </row>
    <row r="63" spans="1:12" x14ac:dyDescent="0.2">
      <c r="A63" s="1" t="s">
        <v>40</v>
      </c>
      <c r="B63">
        <v>69</v>
      </c>
      <c r="C63">
        <v>352</v>
      </c>
      <c r="D63">
        <v>382</v>
      </c>
      <c r="E63">
        <v>163</v>
      </c>
      <c r="F63">
        <v>97</v>
      </c>
      <c r="G63">
        <v>73</v>
      </c>
      <c r="H63">
        <v>390</v>
      </c>
      <c r="I63">
        <v>424</v>
      </c>
      <c r="J63">
        <v>104</v>
      </c>
      <c r="K63">
        <v>102</v>
      </c>
      <c r="L63">
        <v>7</v>
      </c>
    </row>
    <row r="64" spans="1:12" x14ac:dyDescent="0.2">
      <c r="A64" s="1" t="s">
        <v>41</v>
      </c>
      <c r="B64">
        <v>74</v>
      </c>
      <c r="C64">
        <v>231</v>
      </c>
      <c r="D64">
        <v>341</v>
      </c>
      <c r="E64">
        <v>144</v>
      </c>
      <c r="F64">
        <v>97</v>
      </c>
      <c r="G64">
        <v>77</v>
      </c>
      <c r="H64">
        <v>335</v>
      </c>
      <c r="I64">
        <v>381</v>
      </c>
      <c r="J64">
        <v>99</v>
      </c>
      <c r="K64">
        <v>91</v>
      </c>
      <c r="L64">
        <v>8</v>
      </c>
    </row>
    <row r="68" spans="1:23" x14ac:dyDescent="0.2">
      <c r="N68" s="13" t="s">
        <v>65</v>
      </c>
      <c r="O68" s="13"/>
      <c r="P68" s="13"/>
      <c r="Q68" s="13"/>
      <c r="R68" s="13"/>
      <c r="S68" s="13" t="s">
        <v>66</v>
      </c>
      <c r="T68" s="13"/>
      <c r="U68" s="13"/>
      <c r="V68" s="13"/>
      <c r="W68" s="13"/>
    </row>
    <row r="69" spans="1:23" ht="16" thickBot="1" x14ac:dyDescent="0.25">
      <c r="A69" t="s">
        <v>34</v>
      </c>
      <c r="B69" s="3" t="s">
        <v>58</v>
      </c>
      <c r="N69" t="s">
        <v>67</v>
      </c>
      <c r="O69" t="s">
        <v>68</v>
      </c>
      <c r="P69" t="s">
        <v>69</v>
      </c>
      <c r="Q69" t="s">
        <v>70</v>
      </c>
      <c r="R69" t="s">
        <v>71</v>
      </c>
      <c r="S69" t="s">
        <v>67</v>
      </c>
      <c r="T69" t="s">
        <v>68</v>
      </c>
      <c r="U69" t="s">
        <v>69</v>
      </c>
      <c r="V69" t="s">
        <v>70</v>
      </c>
      <c r="W69" t="s">
        <v>71</v>
      </c>
    </row>
    <row r="70" spans="1:23" x14ac:dyDescent="0.2">
      <c r="N70" s="5">
        <f>N91/N29</f>
        <v>746.82106501960038</v>
      </c>
      <c r="O70" s="6">
        <f t="shared" ref="O70:W70" si="1">O91/O29</f>
        <v>8894.7998253786227</v>
      </c>
      <c r="P70" s="6">
        <f t="shared" si="1"/>
        <v>10505.617694087034</v>
      </c>
      <c r="Q70" s="6">
        <f t="shared" si="1"/>
        <v>3874.3286133566198</v>
      </c>
      <c r="R70" s="7">
        <f t="shared" si="1"/>
        <v>1289.2115645264441</v>
      </c>
      <c r="S70" s="5">
        <f t="shared" si="1"/>
        <v>745.69248568715216</v>
      </c>
      <c r="T70" s="6">
        <f t="shared" si="1"/>
        <v>9404.8072343093445</v>
      </c>
      <c r="U70" s="6">
        <f t="shared" si="1"/>
        <v>9941.5722111932191</v>
      </c>
      <c r="V70" s="6">
        <f t="shared" si="1"/>
        <v>1105.0068003299573</v>
      </c>
      <c r="W70" s="7">
        <f t="shared" si="1"/>
        <v>1030.3785707765437</v>
      </c>
    </row>
    <row r="71" spans="1:23" x14ac:dyDescent="0.2">
      <c r="N71" s="8">
        <f t="shared" ref="N71:W74" si="2">N92/N30</f>
        <v>750.54350622385607</v>
      </c>
      <c r="O71">
        <f t="shared" si="2"/>
        <v>9066.1059202912311</v>
      </c>
      <c r="P71">
        <f t="shared" si="2"/>
        <v>10729.833871012783</v>
      </c>
      <c r="Q71">
        <f t="shared" si="2"/>
        <v>2818.9328013421864</v>
      </c>
      <c r="R71" s="9">
        <f t="shared" si="2"/>
        <v>1287.4118100983974</v>
      </c>
      <c r="S71" s="8">
        <f t="shared" si="2"/>
        <v>773.76425294358103</v>
      </c>
      <c r="T71">
        <f t="shared" si="2"/>
        <v>9399.6245730017527</v>
      </c>
      <c r="U71">
        <f t="shared" si="2"/>
        <v>8148.9228617145664</v>
      </c>
      <c r="V71">
        <f t="shared" si="2"/>
        <v>1498.9172187044776</v>
      </c>
      <c r="W71" s="9">
        <f t="shared" si="2"/>
        <v>1323.8727056735058</v>
      </c>
    </row>
    <row r="72" spans="1:23" x14ac:dyDescent="0.2">
      <c r="N72" s="8">
        <f t="shared" si="2"/>
        <v>749.92706770622146</v>
      </c>
      <c r="O72">
        <f t="shared" si="2"/>
        <v>9034.1579917296003</v>
      </c>
      <c r="P72">
        <f t="shared" si="2"/>
        <v>9723.9111999093511</v>
      </c>
      <c r="Q72">
        <f t="shared" si="2"/>
        <v>3642.0551604734828</v>
      </c>
      <c r="R72" s="9">
        <f t="shared" si="2"/>
        <v>1081.6432814209106</v>
      </c>
      <c r="S72" s="8">
        <f t="shared" si="2"/>
        <v>754.49680927569659</v>
      </c>
      <c r="T72">
        <f t="shared" si="2"/>
        <v>9065.6282260432963</v>
      </c>
      <c r="U72">
        <f t="shared" si="2"/>
        <v>8593.5335448273145</v>
      </c>
      <c r="V72">
        <f t="shared" si="2"/>
        <v>1278.5298613480338</v>
      </c>
      <c r="W72" s="9">
        <f t="shared" si="2"/>
        <v>1299.1088852574289</v>
      </c>
    </row>
    <row r="73" spans="1:23" x14ac:dyDescent="0.2">
      <c r="N73" s="8">
        <f t="shared" si="2"/>
        <v>602.14792260349145</v>
      </c>
      <c r="O73">
        <f t="shared" si="2"/>
        <v>9250.9159346233973</v>
      </c>
      <c r="P73">
        <f t="shared" si="2"/>
        <v>10782.180228856383</v>
      </c>
      <c r="Q73">
        <f t="shared" si="2"/>
        <v>3695.4021874531272</v>
      </c>
      <c r="R73" s="9">
        <f t="shared" si="2"/>
        <v>1409.6822175288887</v>
      </c>
      <c r="S73" s="8">
        <f t="shared" si="2"/>
        <v>679.16442520854491</v>
      </c>
      <c r="T73">
        <f t="shared" si="2"/>
        <v>9503.3796232665936</v>
      </c>
      <c r="U73">
        <f t="shared" si="2"/>
        <v>10476.942384098676</v>
      </c>
      <c r="V73">
        <f t="shared" si="2"/>
        <v>1468.3793802202829</v>
      </c>
      <c r="W73" s="9">
        <f t="shared" si="2"/>
        <v>1363.4651625241088</v>
      </c>
    </row>
    <row r="74" spans="1:23" ht="16" thickBot="1" x14ac:dyDescent="0.25">
      <c r="A74" t="s">
        <v>59</v>
      </c>
      <c r="N74" s="10">
        <f t="shared" si="2"/>
        <v>756.27401775413614</v>
      </c>
      <c r="O74" s="11">
        <f t="shared" si="2"/>
        <v>7728.0188586919003</v>
      </c>
      <c r="P74" s="11">
        <f t="shared" si="2"/>
        <v>10276.332057743715</v>
      </c>
      <c r="Q74" s="11">
        <f t="shared" si="2"/>
        <v>3294.5111335713427</v>
      </c>
      <c r="R74" s="12">
        <f t="shared" si="2"/>
        <v>1331.5379538275258</v>
      </c>
      <c r="S74" s="10">
        <f t="shared" si="2"/>
        <v>807.19364395411947</v>
      </c>
      <c r="T74" s="11">
        <f t="shared" si="2"/>
        <v>9202.3636430169263</v>
      </c>
      <c r="U74" s="11">
        <f t="shared" si="2"/>
        <v>10518.128816836686</v>
      </c>
      <c r="V74" s="11">
        <f t="shared" si="2"/>
        <v>1445.4951317271166</v>
      </c>
      <c r="W74" s="12">
        <f t="shared" si="2"/>
        <v>1311.6986359705886</v>
      </c>
    </row>
    <row r="75" spans="1:23" x14ac:dyDescent="0.2">
      <c r="A75" t="s">
        <v>22</v>
      </c>
      <c r="E75" t="s">
        <v>44</v>
      </c>
    </row>
    <row r="76" spans="1:23" x14ac:dyDescent="0.2">
      <c r="A76" t="s">
        <v>45</v>
      </c>
      <c r="E76">
        <v>488</v>
      </c>
      <c r="F76" t="s">
        <v>25</v>
      </c>
      <c r="N76">
        <f t="shared" ref="N76:W76" si="3">AVERAGE(N70:N74)</f>
        <v>721.14271586146117</v>
      </c>
      <c r="O76">
        <f t="shared" si="3"/>
        <v>8794.7997061429505</v>
      </c>
      <c r="P76">
        <f t="shared" si="3"/>
        <v>10403.575010321854</v>
      </c>
      <c r="Q76">
        <f t="shared" si="3"/>
        <v>3465.0459792393522</v>
      </c>
      <c r="R76">
        <f t="shared" si="3"/>
        <v>1279.8973654804333</v>
      </c>
      <c r="S76">
        <f t="shared" si="3"/>
        <v>752.06232341381883</v>
      </c>
      <c r="T76">
        <f t="shared" si="3"/>
        <v>9315.1606599275838</v>
      </c>
      <c r="U76">
        <f t="shared" si="3"/>
        <v>9535.8199637340931</v>
      </c>
      <c r="V76">
        <f t="shared" si="3"/>
        <v>1359.2656784659735</v>
      </c>
      <c r="W76">
        <f t="shared" si="3"/>
        <v>1265.7047920404352</v>
      </c>
    </row>
    <row r="77" spans="1:23" x14ac:dyDescent="0.2">
      <c r="A77" t="s">
        <v>46</v>
      </c>
      <c r="E77">
        <v>520</v>
      </c>
      <c r="F77" t="s">
        <v>25</v>
      </c>
    </row>
    <row r="78" spans="1:23" x14ac:dyDescent="0.2">
      <c r="A78" t="s">
        <v>47</v>
      </c>
      <c r="E78">
        <v>9</v>
      </c>
      <c r="F78" t="s">
        <v>25</v>
      </c>
      <c r="N78">
        <f>N76/974</f>
        <v>0.74039293209595602</v>
      </c>
      <c r="O78">
        <f>O76/10336</f>
        <v>0.85089006444881488</v>
      </c>
      <c r="P78">
        <f>P76/16798</f>
        <v>0.61933414753672189</v>
      </c>
      <c r="Q78">
        <f>Q76/40900</f>
        <v>8.4719950592649196E-2</v>
      </c>
      <c r="R78">
        <f>R76/1809</f>
        <v>0.7075165093866409</v>
      </c>
      <c r="S78">
        <f>S76/895</f>
        <v>0.8402930987863898</v>
      </c>
      <c r="T78">
        <f>T76/10832</f>
        <v>0.85996682606421559</v>
      </c>
      <c r="U78">
        <f>U76/17626</f>
        <v>0.54100873503540758</v>
      </c>
      <c r="V78">
        <f>V76/52231</f>
        <v>2.6024117448755976E-2</v>
      </c>
      <c r="W78">
        <f>W76/1938</f>
        <v>0.65309844790528138</v>
      </c>
    </row>
    <row r="79" spans="1:23" x14ac:dyDescent="0.2">
      <c r="A79" t="s">
        <v>48</v>
      </c>
      <c r="E79">
        <v>20</v>
      </c>
      <c r="F79" t="s">
        <v>25</v>
      </c>
    </row>
    <row r="80" spans="1:23" x14ac:dyDescent="0.2">
      <c r="A80" t="s">
        <v>49</v>
      </c>
      <c r="E80">
        <v>80</v>
      </c>
      <c r="F80" t="s">
        <v>50</v>
      </c>
    </row>
    <row r="81" spans="1:23" x14ac:dyDescent="0.2">
      <c r="A81" t="s">
        <v>27</v>
      </c>
      <c r="E81">
        <v>25</v>
      </c>
    </row>
    <row r="82" spans="1:23" x14ac:dyDescent="0.2">
      <c r="A82" t="s">
        <v>51</v>
      </c>
      <c r="E82">
        <v>20</v>
      </c>
      <c r="F82" t="s">
        <v>52</v>
      </c>
    </row>
    <row r="83" spans="1:23" x14ac:dyDescent="0.2">
      <c r="A83" t="s">
        <v>53</v>
      </c>
      <c r="E83">
        <v>0</v>
      </c>
      <c r="F83" t="s">
        <v>52</v>
      </c>
    </row>
    <row r="84" spans="1:23" x14ac:dyDescent="0.2">
      <c r="A84" t="s">
        <v>28</v>
      </c>
      <c r="E84">
        <v>0</v>
      </c>
      <c r="F84" t="s">
        <v>29</v>
      </c>
    </row>
    <row r="85" spans="1:23" x14ac:dyDescent="0.2">
      <c r="A85" t="s">
        <v>54</v>
      </c>
      <c r="E85">
        <v>20000</v>
      </c>
      <c r="F85" t="s">
        <v>55</v>
      </c>
    </row>
    <row r="86" spans="1:23" x14ac:dyDescent="0.2">
      <c r="A86" t="s">
        <v>30</v>
      </c>
      <c r="E86" t="s">
        <v>37</v>
      </c>
    </row>
    <row r="87" spans="1:23" x14ac:dyDescent="0.2">
      <c r="A87" t="s">
        <v>31</v>
      </c>
      <c r="B87" s="3" t="s">
        <v>60</v>
      </c>
    </row>
    <row r="89" spans="1:23" x14ac:dyDescent="0.2">
      <c r="B89" t="s">
        <v>57</v>
      </c>
    </row>
    <row r="90" spans="1:23" x14ac:dyDescent="0.2">
      <c r="A90" s="1" t="s">
        <v>0</v>
      </c>
      <c r="B90" s="1">
        <v>2</v>
      </c>
      <c r="C90" s="1">
        <v>3</v>
      </c>
      <c r="D90" s="1">
        <v>4</v>
      </c>
      <c r="E90" s="1">
        <v>5</v>
      </c>
      <c r="F90" s="1">
        <v>6</v>
      </c>
      <c r="G90" s="1">
        <v>7</v>
      </c>
      <c r="H90" s="1">
        <v>8</v>
      </c>
      <c r="I90" s="1">
        <v>9</v>
      </c>
      <c r="J90" s="1">
        <v>10</v>
      </c>
      <c r="K90" s="1">
        <v>11</v>
      </c>
      <c r="L90" s="1">
        <v>12</v>
      </c>
    </row>
    <row r="91" spans="1:23" x14ac:dyDescent="0.2">
      <c r="A91" s="1" t="s">
        <v>32</v>
      </c>
      <c r="B91">
        <v>2228</v>
      </c>
      <c r="C91">
        <v>10302</v>
      </c>
      <c r="D91">
        <v>11913</v>
      </c>
      <c r="E91">
        <v>5048</v>
      </c>
      <c r="F91">
        <v>2826</v>
      </c>
      <c r="G91">
        <v>2233</v>
      </c>
      <c r="H91">
        <v>11380</v>
      </c>
      <c r="I91">
        <v>11480</v>
      </c>
      <c r="J91">
        <v>2507</v>
      </c>
      <c r="K91">
        <v>2350</v>
      </c>
      <c r="L91">
        <v>1449</v>
      </c>
      <c r="N91">
        <f t="shared" ref="N91:W95" si="4">B91-1441</f>
        <v>787</v>
      </c>
      <c r="O91">
        <f t="shared" si="4"/>
        <v>8861</v>
      </c>
      <c r="P91">
        <f t="shared" si="4"/>
        <v>10472</v>
      </c>
      <c r="Q91">
        <f t="shared" si="4"/>
        <v>3607</v>
      </c>
      <c r="R91">
        <f t="shared" si="4"/>
        <v>1385</v>
      </c>
      <c r="S91">
        <f t="shared" si="4"/>
        <v>792</v>
      </c>
      <c r="T91">
        <f t="shared" si="4"/>
        <v>9939</v>
      </c>
      <c r="U91">
        <f t="shared" si="4"/>
        <v>10039</v>
      </c>
      <c r="V91">
        <f t="shared" si="4"/>
        <v>1066</v>
      </c>
      <c r="W91">
        <f t="shared" si="4"/>
        <v>909</v>
      </c>
    </row>
    <row r="92" spans="1:23" x14ac:dyDescent="0.2">
      <c r="A92" s="1" t="s">
        <v>33</v>
      </c>
      <c r="B92">
        <v>2235</v>
      </c>
      <c r="C92">
        <v>9848</v>
      </c>
      <c r="D92">
        <v>11497</v>
      </c>
      <c r="E92">
        <v>3591</v>
      </c>
      <c r="F92">
        <v>2882</v>
      </c>
      <c r="G92">
        <v>2255</v>
      </c>
      <c r="H92">
        <v>10459</v>
      </c>
      <c r="I92">
        <v>8062</v>
      </c>
      <c r="J92">
        <v>3033</v>
      </c>
      <c r="K92">
        <v>2859</v>
      </c>
      <c r="L92">
        <v>1438</v>
      </c>
      <c r="N92">
        <f t="shared" si="4"/>
        <v>794</v>
      </c>
      <c r="O92">
        <f t="shared" si="4"/>
        <v>8407</v>
      </c>
      <c r="P92">
        <f t="shared" si="4"/>
        <v>10056</v>
      </c>
      <c r="Q92">
        <f t="shared" si="4"/>
        <v>2150</v>
      </c>
      <c r="R92">
        <f t="shared" si="4"/>
        <v>1441</v>
      </c>
      <c r="S92">
        <f t="shared" si="4"/>
        <v>814</v>
      </c>
      <c r="T92">
        <f t="shared" si="4"/>
        <v>9018</v>
      </c>
      <c r="U92">
        <f t="shared" si="4"/>
        <v>6621</v>
      </c>
      <c r="V92">
        <f t="shared" si="4"/>
        <v>1592</v>
      </c>
      <c r="W92">
        <f t="shared" si="4"/>
        <v>1418</v>
      </c>
    </row>
    <row r="93" spans="1:23" x14ac:dyDescent="0.2">
      <c r="A93" s="1" t="s">
        <v>35</v>
      </c>
      <c r="B93">
        <v>2212</v>
      </c>
      <c r="C93">
        <v>10645</v>
      </c>
      <c r="D93">
        <v>9436</v>
      </c>
      <c r="E93">
        <v>4815</v>
      </c>
      <c r="F93">
        <v>2273</v>
      </c>
      <c r="G93">
        <v>2217</v>
      </c>
      <c r="H93">
        <v>10406</v>
      </c>
      <c r="I93">
        <v>8272</v>
      </c>
      <c r="J93">
        <v>2735</v>
      </c>
      <c r="K93">
        <v>2724</v>
      </c>
      <c r="L93">
        <v>1437</v>
      </c>
      <c r="N93">
        <f t="shared" si="4"/>
        <v>771</v>
      </c>
      <c r="O93">
        <f t="shared" si="4"/>
        <v>9204</v>
      </c>
      <c r="P93">
        <f t="shared" si="4"/>
        <v>7995</v>
      </c>
      <c r="Q93">
        <f t="shared" si="4"/>
        <v>3374</v>
      </c>
      <c r="R93">
        <f t="shared" si="4"/>
        <v>832</v>
      </c>
      <c r="S93">
        <f t="shared" si="4"/>
        <v>776</v>
      </c>
      <c r="T93">
        <f t="shared" si="4"/>
        <v>8965</v>
      </c>
      <c r="U93">
        <f t="shared" si="4"/>
        <v>6831</v>
      </c>
      <c r="V93">
        <f t="shared" si="4"/>
        <v>1294</v>
      </c>
      <c r="W93">
        <f t="shared" si="4"/>
        <v>1283</v>
      </c>
    </row>
    <row r="94" spans="1:23" x14ac:dyDescent="0.2">
      <c r="A94" s="1" t="s">
        <v>40</v>
      </c>
      <c r="B94">
        <v>1940</v>
      </c>
      <c r="C94">
        <v>10024</v>
      </c>
      <c r="D94">
        <v>10856</v>
      </c>
      <c r="E94">
        <v>4656</v>
      </c>
      <c r="F94">
        <v>2763</v>
      </c>
      <c r="G94">
        <v>2075</v>
      </c>
      <c r="H94">
        <v>11143</v>
      </c>
      <c r="I94">
        <v>12051</v>
      </c>
      <c r="J94">
        <v>2927</v>
      </c>
      <c r="K94">
        <v>2889</v>
      </c>
      <c r="L94">
        <v>193</v>
      </c>
      <c r="N94">
        <f t="shared" si="4"/>
        <v>499</v>
      </c>
      <c r="O94">
        <f t="shared" si="4"/>
        <v>8583</v>
      </c>
      <c r="P94">
        <f t="shared" si="4"/>
        <v>9415</v>
      </c>
      <c r="Q94">
        <f t="shared" si="4"/>
        <v>3215</v>
      </c>
      <c r="R94">
        <f t="shared" si="4"/>
        <v>1322</v>
      </c>
      <c r="S94">
        <f t="shared" si="4"/>
        <v>634</v>
      </c>
      <c r="T94">
        <f t="shared" si="4"/>
        <v>9702</v>
      </c>
      <c r="U94">
        <f t="shared" si="4"/>
        <v>10610</v>
      </c>
      <c r="V94">
        <f t="shared" si="4"/>
        <v>1486</v>
      </c>
      <c r="W94">
        <f t="shared" si="4"/>
        <v>1448</v>
      </c>
    </row>
    <row r="95" spans="1:23" x14ac:dyDescent="0.2">
      <c r="A95" s="1" t="s">
        <v>41</v>
      </c>
      <c r="B95">
        <v>2110</v>
      </c>
      <c r="C95">
        <v>6618</v>
      </c>
      <c r="D95">
        <v>9734</v>
      </c>
      <c r="E95">
        <v>4100</v>
      </c>
      <c r="F95">
        <v>2776</v>
      </c>
      <c r="G95">
        <v>2213</v>
      </c>
      <c r="H95">
        <v>9540</v>
      </c>
      <c r="I95">
        <v>10840</v>
      </c>
      <c r="J95">
        <v>2832</v>
      </c>
      <c r="K95">
        <v>2597</v>
      </c>
      <c r="L95">
        <v>191</v>
      </c>
      <c r="N95">
        <f t="shared" si="4"/>
        <v>669</v>
      </c>
      <c r="O95">
        <f t="shared" si="4"/>
        <v>5177</v>
      </c>
      <c r="P95">
        <f t="shared" si="4"/>
        <v>8293</v>
      </c>
      <c r="Q95">
        <f t="shared" si="4"/>
        <v>2659</v>
      </c>
      <c r="R95">
        <f t="shared" si="4"/>
        <v>1335</v>
      </c>
      <c r="S95">
        <f t="shared" si="4"/>
        <v>772</v>
      </c>
      <c r="T95">
        <f t="shared" si="4"/>
        <v>8099</v>
      </c>
      <c r="U95">
        <f t="shared" si="4"/>
        <v>9399</v>
      </c>
      <c r="V95">
        <f t="shared" si="4"/>
        <v>1391</v>
      </c>
      <c r="W95">
        <f t="shared" si="4"/>
        <v>1156</v>
      </c>
    </row>
    <row r="97" spans="1:12" x14ac:dyDescent="0.2">
      <c r="L97">
        <f>AVERAGE(L91:L93)</f>
        <v>1441.3333333333333</v>
      </c>
    </row>
    <row r="100" spans="1:12" x14ac:dyDescent="0.2">
      <c r="A100" t="s">
        <v>34</v>
      </c>
      <c r="B100" s="3" t="s">
        <v>61</v>
      </c>
    </row>
    <row r="105" spans="1:12" x14ac:dyDescent="0.2">
      <c r="A105" t="s">
        <v>62</v>
      </c>
    </row>
    <row r="106" spans="1:12" x14ac:dyDescent="0.2">
      <c r="A106" t="s">
        <v>22</v>
      </c>
      <c r="E106" t="s">
        <v>44</v>
      </c>
    </row>
    <row r="107" spans="1:12" x14ac:dyDescent="0.2">
      <c r="A107" t="s">
        <v>45</v>
      </c>
      <c r="E107">
        <v>488</v>
      </c>
      <c r="F107" t="s">
        <v>25</v>
      </c>
    </row>
    <row r="108" spans="1:12" x14ac:dyDescent="0.2">
      <c r="A108" t="s">
        <v>46</v>
      </c>
      <c r="E108">
        <v>520</v>
      </c>
      <c r="F108" t="s">
        <v>25</v>
      </c>
    </row>
    <row r="109" spans="1:12" x14ac:dyDescent="0.2">
      <c r="A109" t="s">
        <v>47</v>
      </c>
      <c r="E109">
        <v>9</v>
      </c>
      <c r="F109" t="s">
        <v>25</v>
      </c>
    </row>
    <row r="110" spans="1:12" x14ac:dyDescent="0.2">
      <c r="A110" t="s">
        <v>48</v>
      </c>
      <c r="E110">
        <v>20</v>
      </c>
      <c r="F110" t="s">
        <v>25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27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30</v>
      </c>
      <c r="E117" t="s">
        <v>37</v>
      </c>
    </row>
    <row r="118" spans="1:12" x14ac:dyDescent="0.2">
      <c r="A118" t="s">
        <v>31</v>
      </c>
      <c r="B118" s="3" t="s">
        <v>63</v>
      </c>
    </row>
    <row r="120" spans="1:12" x14ac:dyDescent="0.2">
      <c r="B120" t="s">
        <v>57</v>
      </c>
    </row>
    <row r="121" spans="1:12" x14ac:dyDescent="0.2">
      <c r="A121" s="1" t="s">
        <v>0</v>
      </c>
      <c r="B121" s="1">
        <v>2</v>
      </c>
      <c r="C121" s="1">
        <v>3</v>
      </c>
      <c r="D121" s="1">
        <v>4</v>
      </c>
      <c r="E121" s="1">
        <v>5</v>
      </c>
      <c r="F121" s="1">
        <v>6</v>
      </c>
      <c r="G121" s="1">
        <v>7</v>
      </c>
      <c r="H121" s="1">
        <v>8</v>
      </c>
      <c r="I121" s="1">
        <v>9</v>
      </c>
      <c r="J121" s="1">
        <v>10</v>
      </c>
      <c r="K121" s="1">
        <v>11</v>
      </c>
      <c r="L121" s="1">
        <v>12</v>
      </c>
    </row>
    <row r="122" spans="1:12" x14ac:dyDescent="0.2">
      <c r="A122" s="1" t="s">
        <v>32</v>
      </c>
      <c r="B122">
        <v>10688</v>
      </c>
      <c r="C122">
        <v>49067</v>
      </c>
      <c r="D122">
        <v>56412</v>
      </c>
      <c r="E122">
        <v>24345</v>
      </c>
      <c r="F122">
        <v>13547</v>
      </c>
      <c r="G122">
        <v>10690</v>
      </c>
      <c r="H122">
        <v>53998</v>
      </c>
      <c r="I122">
        <v>54303</v>
      </c>
      <c r="J122">
        <v>12125</v>
      </c>
      <c r="K122">
        <v>11310</v>
      </c>
      <c r="L122">
        <v>6914</v>
      </c>
    </row>
    <row r="123" spans="1:12" x14ac:dyDescent="0.2">
      <c r="A123" s="1" t="s">
        <v>33</v>
      </c>
      <c r="B123">
        <v>10701</v>
      </c>
      <c r="C123">
        <v>46763</v>
      </c>
      <c r="D123">
        <v>54566</v>
      </c>
      <c r="E123">
        <v>17184</v>
      </c>
      <c r="F123">
        <v>13731</v>
      </c>
      <c r="G123">
        <v>10808</v>
      </c>
      <c r="H123">
        <v>49762</v>
      </c>
      <c r="I123">
        <v>38544</v>
      </c>
      <c r="J123">
        <v>14496</v>
      </c>
      <c r="K123">
        <v>13673</v>
      </c>
      <c r="L123">
        <v>6872</v>
      </c>
    </row>
    <row r="124" spans="1:12" x14ac:dyDescent="0.2">
      <c r="A124" s="1" t="s">
        <v>35</v>
      </c>
      <c r="B124">
        <v>10584</v>
      </c>
      <c r="C124">
        <v>50535</v>
      </c>
      <c r="D124">
        <v>44980</v>
      </c>
      <c r="E124">
        <v>23063</v>
      </c>
      <c r="F124">
        <v>10967</v>
      </c>
      <c r="G124">
        <v>10660</v>
      </c>
      <c r="H124">
        <v>49535</v>
      </c>
      <c r="I124">
        <v>39558</v>
      </c>
      <c r="J124">
        <v>13214</v>
      </c>
      <c r="K124">
        <v>13172</v>
      </c>
      <c r="L124">
        <v>6947</v>
      </c>
    </row>
    <row r="125" spans="1:12" x14ac:dyDescent="0.2">
      <c r="A125" s="1" t="s">
        <v>40</v>
      </c>
      <c r="B125">
        <v>9330</v>
      </c>
      <c r="C125">
        <v>47632</v>
      </c>
      <c r="D125">
        <v>51464</v>
      </c>
      <c r="E125">
        <v>22364</v>
      </c>
      <c r="F125">
        <v>13281</v>
      </c>
      <c r="G125">
        <v>10007</v>
      </c>
      <c r="H125">
        <v>53105</v>
      </c>
      <c r="I125">
        <v>57327</v>
      </c>
      <c r="J125">
        <v>14035</v>
      </c>
      <c r="K125">
        <v>13915</v>
      </c>
      <c r="L125">
        <v>913</v>
      </c>
    </row>
    <row r="126" spans="1:12" x14ac:dyDescent="0.2">
      <c r="A126" s="1" t="s">
        <v>41</v>
      </c>
      <c r="B126">
        <v>10107</v>
      </c>
      <c r="C126">
        <v>31768</v>
      </c>
      <c r="D126">
        <v>46317</v>
      </c>
      <c r="E126">
        <v>19587</v>
      </c>
      <c r="F126">
        <v>13328</v>
      </c>
      <c r="G126">
        <v>10608</v>
      </c>
      <c r="H126">
        <v>45356</v>
      </c>
      <c r="I126">
        <v>51481</v>
      </c>
      <c r="J126">
        <v>13622</v>
      </c>
      <c r="K126">
        <v>12505</v>
      </c>
      <c r="L126">
        <v>917</v>
      </c>
    </row>
    <row r="131" spans="1:2" x14ac:dyDescent="0.2">
      <c r="A131" t="s">
        <v>34</v>
      </c>
      <c r="B131" s="3" t="s">
        <v>64</v>
      </c>
    </row>
  </sheetData>
  <mergeCells count="2">
    <mergeCell ref="N68:R68"/>
    <mergeCell ref="S68:W68"/>
  </mergeCells>
  <conditionalFormatting sqref="N76:Q76">
    <cfRule type="colorScale" priority="5">
      <colorScale>
        <cfvo type="min"/>
        <cfvo type="max"/>
        <color rgb="FFFCFCFF"/>
        <color rgb="FF63BE7B"/>
      </colorScale>
    </cfRule>
  </conditionalFormatting>
  <conditionalFormatting sqref="N70:R74">
    <cfRule type="colorScale" priority="9">
      <colorScale>
        <cfvo type="min"/>
        <cfvo type="max"/>
        <color rgb="FFFCFCFF"/>
        <color rgb="FF63BE7B"/>
      </colorScale>
    </cfRule>
  </conditionalFormatting>
  <conditionalFormatting sqref="R76">
    <cfRule type="colorScale" priority="3">
      <colorScale>
        <cfvo type="min"/>
        <cfvo type="max"/>
        <color rgb="FFFCFCFF"/>
        <color rgb="FF63BE7B"/>
      </colorScale>
    </cfRule>
  </conditionalFormatting>
  <conditionalFormatting sqref="S76">
    <cfRule type="colorScale" priority="4">
      <colorScale>
        <cfvo type="min"/>
        <cfvo type="max"/>
        <color rgb="FFFCFCFF"/>
        <color rgb="FF63BE7B"/>
      </colorScale>
    </cfRule>
  </conditionalFormatting>
  <conditionalFormatting sqref="S70:W74">
    <cfRule type="colorScale" priority="8">
      <colorScale>
        <cfvo type="min"/>
        <cfvo type="max"/>
        <color rgb="FFFCFCFF"/>
        <color rgb="FF63BE7B"/>
      </colorScale>
    </cfRule>
  </conditionalFormatting>
  <conditionalFormatting sqref="T76:V76">
    <cfRule type="colorScale" priority="1">
      <colorScale>
        <cfvo type="min"/>
        <cfvo type="max"/>
        <color rgb="FFFCFCFF"/>
        <color rgb="FF63BE7B"/>
      </colorScale>
    </cfRule>
  </conditionalFormatting>
  <conditionalFormatting sqref="W7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2025-10-25T01:14:40Z</dcterms:modified>
</cp:coreProperties>
</file>