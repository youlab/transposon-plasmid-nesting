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GFP/"/>
    </mc:Choice>
  </mc:AlternateContent>
  <xr:revisionPtr revIDLastSave="0" documentId="13_ncr:1_{D8609479-C17B-A845-85D7-5894942C6E1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2" l="1"/>
  <c r="P29" i="2"/>
  <c r="O29" i="2"/>
  <c r="P88" i="2"/>
  <c r="P87" i="2"/>
  <c r="W31" i="2"/>
  <c r="V31" i="2"/>
  <c r="U31" i="2"/>
  <c r="T31" i="2"/>
  <c r="S31" i="2"/>
  <c r="R31" i="2"/>
  <c r="Q31" i="2"/>
  <c r="P31" i="2"/>
  <c r="O31" i="2"/>
  <c r="W30" i="2"/>
  <c r="V30" i="2"/>
  <c r="U30" i="2"/>
  <c r="T30" i="2"/>
  <c r="T74" i="2" s="1"/>
  <c r="S30" i="2"/>
  <c r="S74" i="2" s="1"/>
  <c r="R30" i="2"/>
  <c r="Q30" i="2"/>
  <c r="O30" i="2"/>
  <c r="W29" i="2"/>
  <c r="V29" i="2"/>
  <c r="U29" i="2"/>
  <c r="U73" i="2" s="1"/>
  <c r="T29" i="2"/>
  <c r="S29" i="2"/>
  <c r="R29" i="2"/>
  <c r="Q29" i="2"/>
  <c r="N31" i="2"/>
  <c r="N30" i="2"/>
  <c r="N29" i="2"/>
  <c r="W89" i="2"/>
  <c r="W75" i="2" s="1"/>
  <c r="V89" i="2"/>
  <c r="U89" i="2"/>
  <c r="T89" i="2"/>
  <c r="S89" i="2"/>
  <c r="R89" i="2"/>
  <c r="Q89" i="2"/>
  <c r="P89" i="2"/>
  <c r="O89" i="2"/>
  <c r="W88" i="2"/>
  <c r="V88" i="2"/>
  <c r="U88" i="2"/>
  <c r="T88" i="2"/>
  <c r="S88" i="2"/>
  <c r="R88" i="2"/>
  <c r="Q88" i="2"/>
  <c r="O88" i="2"/>
  <c r="O74" i="2" s="1"/>
  <c r="W87" i="2"/>
  <c r="V87" i="2"/>
  <c r="U87" i="2"/>
  <c r="T87" i="2"/>
  <c r="S87" i="2"/>
  <c r="R87" i="2"/>
  <c r="Q87" i="2"/>
  <c r="O87" i="2"/>
  <c r="N89" i="2"/>
  <c r="N88" i="2"/>
  <c r="N87" i="2"/>
  <c r="U75" i="2"/>
  <c r="T75" i="2"/>
  <c r="W73" i="2"/>
  <c r="L91" i="2"/>
  <c r="L33" i="2"/>
  <c r="P74" i="2" l="1"/>
  <c r="Q73" i="2"/>
  <c r="S73" i="2"/>
  <c r="R73" i="2"/>
  <c r="T73" i="2"/>
  <c r="V73" i="2"/>
  <c r="N74" i="2"/>
  <c r="N75" i="2"/>
  <c r="N73" i="2"/>
  <c r="Q74" i="2"/>
  <c r="V75" i="2"/>
  <c r="R74" i="2"/>
  <c r="Q75" i="2"/>
  <c r="V74" i="2"/>
  <c r="W74" i="2"/>
  <c r="O75" i="2"/>
  <c r="U74" i="2"/>
  <c r="O73" i="2"/>
  <c r="R75" i="2"/>
  <c r="S75" i="2"/>
  <c r="P75" i="2"/>
  <c r="P7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<sst xmlns="http://schemas.openxmlformats.org/spreadsheetml/2006/main" count="165" uniqueCount="70">
  <si>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</si>
  <si>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</si>
  <si>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</si>
  <si>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</si>
  <si>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</si>
  <si>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</si>
  <si>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</si>
  <si>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</si>
  <si>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</si>
  <si>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4:08:36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</si>
  <si>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</si>
  <si>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</si>
  <si>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</si>
  <si>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</si>
  <si>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</si>
  <si>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</si>
  <si>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</si>
  <si>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</si>
  <si>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</si>
  <si>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</si>
  <si>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</si>
  <si>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</si>
  <si>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</si>
  <si>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</si>
  <si>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</si>
  <si>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</si>
  <si>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</si>
  <si>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</si>
  <si>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</si>
  <si>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</si>
  <si>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</si>
  <si>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B2-D12</t>
  </si>
  <si>
    <t>Start Time:</t>
  </si>
  <si>
    <t>9/11/2025 4:08:41 PM</t>
  </si>
  <si>
    <t>Temperature: 27.2 °C</t>
  </si>
  <si>
    <t>&lt;&gt;</t>
  </si>
  <si>
    <t>B</t>
  </si>
  <si>
    <t>C</t>
  </si>
  <si>
    <t>D</t>
  </si>
  <si>
    <t>End Time:</t>
  </si>
  <si>
    <t>9/11/2025 4:08:58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</si>
  <si>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</si>
  <si>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</si>
  <si>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</si>
  <si>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</si>
  <si>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</si>
  <si>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</si>
  <si>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</si>
  <si>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</si>
  <si>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</si>
  <si>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</si>
  <si>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</si>
  <si>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</si>
  <si>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</si>
  <si>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9/11/2025 4:09:03 PM</t>
  </si>
  <si>
    <t>9/11/2025 4:09:34 PM</t>
  </si>
  <si>
    <t>Label: gfp 80</t>
  </si>
  <si>
    <t>9/11/2025 4:09:42 PM</t>
  </si>
  <si>
    <t>9/11/2025 4:10:14 PM</t>
  </si>
  <si>
    <t>Label: gfp100</t>
  </si>
  <si>
    <t>9/11/2025 4:10:21 PM</t>
  </si>
  <si>
    <t>OVER</t>
  </si>
  <si>
    <t>9/11/2025 4:10:53 PM</t>
  </si>
  <si>
    <t>Kan+</t>
  </si>
  <si>
    <t>Kan-</t>
  </si>
  <si>
    <t>p15A</t>
  </si>
  <si>
    <t>pBR</t>
  </si>
  <si>
    <t>CloDF</t>
  </si>
  <si>
    <t>pUC</t>
  </si>
  <si>
    <t>p15A,++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</si>
</sst>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0" fillId="0" borderId="10" xfId="0" applyBorder="1"/>
    <xf numFmtId="0" fontId="5" fillId="0" borderId="0" xfId="0" applyFont="1"/>
    <xf numFmtId="0" fontId="5" fillId="0" borderId="5" xfId="0" applyFont="1" applyBorder="1"/>
    <xf numFmtId="0" fontId="4" fillId="0" borderId="11" xfId="0" applyFont="1" applyBorder="1"/>
    <xf numFmtId="0" fontId="5" fillId="0" borderId="7" xfId="0" applyFont="1" applyBorder="1"/>
    <xf numFmtId="0" fontId="0" fillId="0" borderId="11" xfId="0" applyBorder="1"/>
    <xf numFmtId="0" fontId="4" fillId="0" borderId="1" xfId="0" applyFont="1" applyBorder="1"/>
    <xf numFmtId="0" fontId="4" fillId="0" borderId="10" xfId="0" applyFont="1" applyBorder="1"/>
    <xf numFmtId="0" fontId="5" fillId="0" borderId="4" xfId="0" applyFont="1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"/>
  <sheetViews>
    <sheetView tabSelected="1" topLeftCell="A64" workbookViewId="0">
      <selection activeCell="M98" sqref="M98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45911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ht="16" thickBot="1" x14ac:dyDescent="0.25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ht="16" thickBot="1" x14ac:dyDescent="0.25">
      <c r="A29" s="4" t="s">
        <v>36</v>
      </c>
      <c r="B29" s="6">
        <v>1.0331000089645386</v>
      </c>
      <c r="C29" s="7">
        <v>0.80959999561309814</v>
      </c>
      <c r="D29">
        <v>0.54699999094009399</v>
      </c>
      <c r="E29" s="7">
        <v>0.93559998273849487</v>
      </c>
      <c r="F29" s="13">
        <v>0.88129997253417969</v>
      </c>
      <c r="G29" s="6">
        <v>1.0427000522613525</v>
      </c>
      <c r="H29" s="7">
        <v>0.76730000972747803</v>
      </c>
      <c r="I29" s="7">
        <v>0.93620002269744873</v>
      </c>
      <c r="J29" s="7">
        <v>0.75599998235702515</v>
      </c>
      <c r="K29" s="13">
        <v>0.83910000324249268</v>
      </c>
      <c r="L29">
        <v>3.970000147819519E-2</v>
      </c>
      <c r="N29" s="6">
        <f>B29-0.04</f>
        <v>0.99310000896453854</v>
      </c>
      <c r="O29" s="6">
        <f t="shared" ref="O29:P31" si="0">C29-0.04</f>
        <v>0.76959999561309811</v>
      </c>
      <c r="P29" s="6">
        <f t="shared" si="0"/>
        <v>0.50699999094009396</v>
      </c>
      <c r="Q29" s="6">
        <f t="shared" ref="Q29:Q31" si="1">E29-0.04</f>
        <v>0.89559998273849484</v>
      </c>
      <c r="R29" s="6">
        <f t="shared" ref="R29:R31" si="2">F29-0.04</f>
        <v>0.84129997253417965</v>
      </c>
      <c r="S29" s="6">
        <f t="shared" ref="S29:S31" si="3">G29-0.04</f>
        <v>1.0027000522613525</v>
      </c>
      <c r="T29" s="6">
        <f t="shared" ref="T29:T31" si="4">H29-0.04</f>
        <v>0.72730000972747799</v>
      </c>
      <c r="U29" s="6">
        <f t="shared" ref="U29:U31" si="5">I29-0.04</f>
        <v>0.89620002269744869</v>
      </c>
      <c r="V29" s="6">
        <f t="shared" ref="V29:V31" si="6">J29-0.04</f>
        <v>0.71599998235702511</v>
      </c>
      <c r="W29" s="6">
        <f t="shared" ref="W29:W31" si="7">K29-0.04</f>
        <v>0.79910000324249264</v>
      </c>
    </row>
    <row r="30" spans="1:23" ht="16" thickBot="1" x14ac:dyDescent="0.25">
      <c r="A30" s="4" t="s">
        <v>37</v>
      </c>
      <c r="B30" s="9">
        <v>1.0246000289916992</v>
      </c>
      <c r="C30">
        <v>0.97949999570846558</v>
      </c>
      <c r="D30" s="7">
        <v>0.93559998273849487</v>
      </c>
      <c r="E30">
        <v>0.54699999094009399</v>
      </c>
      <c r="F30" s="15">
        <v>0.86330002546310425</v>
      </c>
      <c r="G30" s="9">
        <v>1.0672999620437622</v>
      </c>
      <c r="H30">
        <v>1.0195000171661377</v>
      </c>
      <c r="I30">
        <v>0.87440001964569092</v>
      </c>
      <c r="J30">
        <v>0.67900002002716064</v>
      </c>
      <c r="K30" s="15">
        <v>0.89859998226165771</v>
      </c>
      <c r="L30">
        <v>4.0600001811981201E-2</v>
      </c>
      <c r="N30" s="6">
        <f t="shared" ref="N30:N31" si="8">B30-0.04</f>
        <v>0.98460002899169918</v>
      </c>
      <c r="O30" s="6">
        <f t="shared" si="0"/>
        <v>0.93949999570846554</v>
      </c>
      <c r="P30" s="6">
        <f t="shared" si="0"/>
        <v>0.89559998273849484</v>
      </c>
      <c r="Q30" s="6">
        <f t="shared" si="1"/>
        <v>0.50699999094009396</v>
      </c>
      <c r="R30" s="6">
        <f t="shared" si="2"/>
        <v>0.82330002546310421</v>
      </c>
      <c r="S30" s="6">
        <f t="shared" si="3"/>
        <v>1.0272999620437622</v>
      </c>
      <c r="T30" s="6">
        <f t="shared" si="4"/>
        <v>0.97950001716613766</v>
      </c>
      <c r="U30" s="6">
        <f t="shared" si="5"/>
        <v>0.83440001964569088</v>
      </c>
      <c r="V30" s="6">
        <f t="shared" si="6"/>
        <v>0.63900002002716061</v>
      </c>
      <c r="W30" s="6">
        <f t="shared" si="7"/>
        <v>0.85859998226165768</v>
      </c>
    </row>
    <row r="31" spans="1:23" ht="16" thickBot="1" x14ac:dyDescent="0.25">
      <c r="A31" s="4" t="s">
        <v>38</v>
      </c>
      <c r="B31" s="10">
        <v>0.76380002498626709</v>
      </c>
      <c r="C31" s="11">
        <v>0.98589998483657837</v>
      </c>
      <c r="D31" s="11">
        <v>0.73019999265670776</v>
      </c>
      <c r="E31" s="11">
        <v>0.73019999265670776</v>
      </c>
      <c r="F31" s="20">
        <v>0.86790001392364502</v>
      </c>
      <c r="G31" s="10">
        <v>0.86760002374649048</v>
      </c>
      <c r="H31" s="11">
        <v>1.0895999670028687</v>
      </c>
      <c r="I31" s="11">
        <v>0.93599998950958252</v>
      </c>
      <c r="J31" s="11">
        <v>0.76380002498626709</v>
      </c>
      <c r="K31" s="20">
        <v>0.79689997434616089</v>
      </c>
      <c r="L31">
        <v>4.1000001132488251E-2</v>
      </c>
      <c r="N31" s="6">
        <f t="shared" si="8"/>
        <v>0.72380002498626705</v>
      </c>
      <c r="O31" s="6">
        <f t="shared" si="0"/>
        <v>0.94589998483657833</v>
      </c>
      <c r="P31" s="6">
        <f>D31-0.04</f>
        <v>0.69019999265670773</v>
      </c>
      <c r="Q31" s="6">
        <f t="shared" si="1"/>
        <v>0.69019999265670773</v>
      </c>
      <c r="R31" s="6">
        <f t="shared" si="2"/>
        <v>0.82790001392364498</v>
      </c>
      <c r="S31" s="6">
        <f t="shared" si="3"/>
        <v>0.82760002374649044</v>
      </c>
      <c r="T31" s="6">
        <f t="shared" si="4"/>
        <v>1.0495999670028686</v>
      </c>
      <c r="U31" s="6">
        <f t="shared" si="5"/>
        <v>0.89599998950958248</v>
      </c>
      <c r="V31" s="6">
        <f t="shared" si="6"/>
        <v>0.72380002498626705</v>
      </c>
      <c r="W31" s="6">
        <f t="shared" si="7"/>
        <v>0.75689997434616085</v>
      </c>
    </row>
    <row r="33" spans="1:12" x14ac:dyDescent="0.2">
      <c r="L33">
        <f>AVERAGE(L29:L31)</f>
        <v>4.0433334807554878E-2</v>
      </c>
    </row>
    <row r="36" spans="1:12" x14ac:dyDescent="0.2">
      <c r="A36" t="s">
        <v>39</v>
      </c>
      <c r="B36" s="2" t="s">
        <v>40</v>
      </c>
    </row>
    <row r="41" spans="1:12" x14ac:dyDescent="0.2">
      <c r="A41" t="s">
        <v>41</v>
      </c>
    </row>
    <row r="42" spans="1:12" x14ac:dyDescent="0.2">
      <c r="A42" t="s">
        <v>22</v>
      </c>
      <c r="E42" t="s">
        <v>42</v>
      </c>
    </row>
    <row r="43" spans="1:12" x14ac:dyDescent="0.2">
      <c r="A43" t="s">
        <v>43</v>
      </c>
      <c r="E43">
        <v>488</v>
      </c>
      <c r="F43" t="s">
        <v>25</v>
      </c>
    </row>
    <row r="44" spans="1:12" x14ac:dyDescent="0.2">
      <c r="A44" t="s">
        <v>44</v>
      </c>
      <c r="E44">
        <v>520</v>
      </c>
      <c r="F44" t="s">
        <v>25</v>
      </c>
    </row>
    <row r="45" spans="1:12" x14ac:dyDescent="0.2">
      <c r="A45" t="s">
        <v>45</v>
      </c>
      <c r="E45">
        <v>9</v>
      </c>
      <c r="F45" t="s">
        <v>25</v>
      </c>
    </row>
    <row r="46" spans="1:12" x14ac:dyDescent="0.2">
      <c r="A46" t="s">
        <v>46</v>
      </c>
      <c r="E46">
        <v>20</v>
      </c>
      <c r="F46" t="s">
        <v>25</v>
      </c>
    </row>
    <row r="47" spans="1:12" x14ac:dyDescent="0.2">
      <c r="A47" t="s">
        <v>47</v>
      </c>
      <c r="E47">
        <v>50</v>
      </c>
      <c r="F47" t="s">
        <v>48</v>
      </c>
    </row>
    <row r="48" spans="1:12" x14ac:dyDescent="0.2">
      <c r="A48" t="s">
        <v>27</v>
      </c>
      <c r="E48">
        <v>25</v>
      </c>
    </row>
    <row r="49" spans="1:12" x14ac:dyDescent="0.2">
      <c r="A49" t="s">
        <v>49</v>
      </c>
      <c r="E49">
        <v>20</v>
      </c>
      <c r="F49" t="s">
        <v>50</v>
      </c>
    </row>
    <row r="50" spans="1:12" x14ac:dyDescent="0.2">
      <c r="A50" t="s">
        <v>51</v>
      </c>
      <c r="E50">
        <v>0</v>
      </c>
      <c r="F50" t="s">
        <v>50</v>
      </c>
    </row>
    <row r="51" spans="1:12" x14ac:dyDescent="0.2">
      <c r="A51" t="s">
        <v>28</v>
      </c>
      <c r="E51">
        <v>0</v>
      </c>
      <c r="F51" t="s">
        <v>29</v>
      </c>
    </row>
    <row r="52" spans="1:12" x14ac:dyDescent="0.2">
      <c r="A52" t="s">
        <v>52</v>
      </c>
      <c r="E52">
        <v>20000</v>
      </c>
      <c r="F52" t="s">
        <v>53</v>
      </c>
    </row>
    <row r="53" spans="1:12" x14ac:dyDescent="0.2">
      <c r="A53" t="s">
        <v>30</v>
      </c>
      <c r="E53" t="s">
        <v>31</v>
      </c>
    </row>
    <row r="54" spans="1:12" x14ac:dyDescent="0.2">
      <c r="A54" t="s">
        <v>32</v>
      </c>
      <c r="B54" s="2" t="s">
        <v>54</v>
      </c>
    </row>
    <row r="56" spans="1:12" x14ac:dyDescent="0.2">
      <c r="B56" t="s">
        <v>34</v>
      </c>
    </row>
    <row r="57" spans="1:12" x14ac:dyDescent="0.2">
      <c r="A57" s="4" t="s">
        <v>35</v>
      </c>
      <c r="B57" s="4">
        <v>2</v>
      </c>
      <c r="C57" s="4">
        <v>3</v>
      </c>
      <c r="D57" s="4">
        <v>4</v>
      </c>
      <c r="E57" s="4">
        <v>5</v>
      </c>
      <c r="F57" s="4">
        <v>6</v>
      </c>
      <c r="G57" s="4">
        <v>7</v>
      </c>
      <c r="H57" s="4">
        <v>8</v>
      </c>
      <c r="I57" s="4">
        <v>9</v>
      </c>
      <c r="J57" s="4">
        <v>10</v>
      </c>
      <c r="K57" s="4">
        <v>11</v>
      </c>
      <c r="L57" s="4">
        <v>12</v>
      </c>
    </row>
    <row r="58" spans="1:12" x14ac:dyDescent="0.2">
      <c r="A58" s="4" t="s">
        <v>36</v>
      </c>
      <c r="B58">
        <v>89</v>
      </c>
      <c r="C58">
        <v>322</v>
      </c>
      <c r="D58">
        <v>565</v>
      </c>
      <c r="E58">
        <v>807</v>
      </c>
      <c r="F58">
        <v>106</v>
      </c>
      <c r="G58">
        <v>85</v>
      </c>
      <c r="H58">
        <v>294</v>
      </c>
      <c r="I58">
        <v>600</v>
      </c>
      <c r="J58">
        <v>1336</v>
      </c>
      <c r="K58">
        <v>108</v>
      </c>
      <c r="L58">
        <v>53</v>
      </c>
    </row>
    <row r="59" spans="1:12" x14ac:dyDescent="0.2">
      <c r="A59" s="4" t="s">
        <v>37</v>
      </c>
      <c r="B59">
        <v>90</v>
      </c>
      <c r="C59">
        <v>394</v>
      </c>
      <c r="D59">
        <v>544</v>
      </c>
      <c r="E59">
        <v>1013</v>
      </c>
      <c r="F59">
        <v>106</v>
      </c>
      <c r="G59">
        <v>85</v>
      </c>
      <c r="H59">
        <v>427</v>
      </c>
      <c r="I59">
        <v>576</v>
      </c>
      <c r="J59">
        <v>1205</v>
      </c>
      <c r="K59">
        <v>112</v>
      </c>
      <c r="L59">
        <v>52</v>
      </c>
    </row>
    <row r="60" spans="1:12" x14ac:dyDescent="0.2">
      <c r="A60" s="4" t="s">
        <v>38</v>
      </c>
      <c r="B60">
        <v>76</v>
      </c>
      <c r="C60">
        <v>404</v>
      </c>
      <c r="D60">
        <v>568</v>
      </c>
      <c r="E60">
        <v>1053</v>
      </c>
      <c r="F60">
        <v>108</v>
      </c>
      <c r="G60">
        <v>78</v>
      </c>
      <c r="H60">
        <v>441</v>
      </c>
      <c r="I60">
        <v>608</v>
      </c>
      <c r="J60">
        <v>1400</v>
      </c>
      <c r="K60">
        <v>104</v>
      </c>
      <c r="L60">
        <v>53</v>
      </c>
    </row>
    <row r="65" spans="1:23" x14ac:dyDescent="0.2">
      <c r="A65" t="s">
        <v>39</v>
      </c>
      <c r="B65" s="2" t="s">
        <v>55</v>
      </c>
    </row>
    <row r="70" spans="1:23" x14ac:dyDescent="0.2">
      <c r="A70" t="s">
        <v>56</v>
      </c>
    </row>
    <row r="71" spans="1:23" x14ac:dyDescent="0.2">
      <c r="A71" t="s">
        <v>22</v>
      </c>
      <c r="E71" t="s">
        <v>42</v>
      </c>
      <c r="N71" s="24" t="s">
        <v>63</v>
      </c>
      <c r="O71" s="24"/>
      <c r="P71" s="24"/>
      <c r="Q71" s="24"/>
      <c r="R71" s="24"/>
      <c r="S71" s="24" t="s">
        <v>64</v>
      </c>
      <c r="T71" s="24"/>
      <c r="U71" s="24"/>
      <c r="V71" s="24"/>
      <c r="W71" s="24"/>
    </row>
    <row r="72" spans="1:23" ht="16" thickBot="1" x14ac:dyDescent="0.25">
      <c r="A72" t="s">
        <v>43</v>
      </c>
      <c r="E72">
        <v>488</v>
      </c>
      <c r="F72" t="s">
        <v>25</v>
      </c>
      <c r="N72" t="s">
        <v>65</v>
      </c>
      <c r="O72" t="s">
        <v>66</v>
      </c>
      <c r="P72" t="s">
        <v>67</v>
      </c>
      <c r="Q72" t="s">
        <v>68</v>
      </c>
      <c r="R72" t="s">
        <v>69</v>
      </c>
      <c r="S72" t="s">
        <v>65</v>
      </c>
      <c r="T72" t="s">
        <v>66</v>
      </c>
      <c r="U72" t="s">
        <v>67</v>
      </c>
      <c r="V72" t="s">
        <v>68</v>
      </c>
      <c r="W72" t="s">
        <v>69</v>
      </c>
    </row>
    <row r="73" spans="1:23" x14ac:dyDescent="0.2">
      <c r="A73" t="s">
        <v>44</v>
      </c>
      <c r="E73">
        <v>520</v>
      </c>
      <c r="F73" t="s">
        <v>25</v>
      </c>
      <c r="N73" s="21">
        <f>N87/N29</f>
        <v>1137.8511628231693</v>
      </c>
      <c r="O73" s="7">
        <f t="shared" ref="O73:W73" si="9">O87/O29</f>
        <v>10144.230827055282</v>
      </c>
      <c r="P73" s="7">
        <f t="shared" ref="P73" si="10">P87/P29</f>
        <v>41015.779825639271</v>
      </c>
      <c r="Q73" s="13">
        <f t="shared" si="9"/>
        <v>23855.51631507606</v>
      </c>
      <c r="R73" s="13">
        <f t="shared" si="9"/>
        <v>2006.4187033257288</v>
      </c>
      <c r="S73" s="6">
        <f t="shared" si="9"/>
        <v>1089.0594824815782</v>
      </c>
      <c r="T73" s="7">
        <f t="shared" si="9"/>
        <v>9714.0105946750664</v>
      </c>
      <c r="U73" s="7">
        <f t="shared" si="9"/>
        <v>17453.692929977347</v>
      </c>
      <c r="V73" s="7">
        <f t="shared" si="9"/>
        <v>50025.140897475285</v>
      </c>
      <c r="W73" s="8">
        <f t="shared" si="9"/>
        <v>2156.1756889107951</v>
      </c>
    </row>
    <row r="74" spans="1:23" x14ac:dyDescent="0.2">
      <c r="A74" t="s">
        <v>45</v>
      </c>
      <c r="E74">
        <v>9</v>
      </c>
      <c r="F74" t="s">
        <v>25</v>
      </c>
      <c r="N74" s="9">
        <f t="shared" ref="N74:W75" si="11">N88/N30</f>
        <v>1259.3946409587745</v>
      </c>
      <c r="O74" s="14">
        <f t="shared" si="11"/>
        <v>10489.622187351331</v>
      </c>
      <c r="P74" s="14">
        <f t="shared" ref="P74" si="12">P88/P30</f>
        <v>11342.117235129539</v>
      </c>
      <c r="Q74" s="15">
        <f t="shared" si="11"/>
        <v>53684.419105277695</v>
      </c>
      <c r="R74" s="22">
        <f t="shared" si="11"/>
        <v>2005.344283903449</v>
      </c>
      <c r="S74" s="23">
        <f t="shared" si="11"/>
        <v>1054.2198384252106</v>
      </c>
      <c r="T74" s="16">
        <f t="shared" si="11"/>
        <v>10978.049833128418</v>
      </c>
      <c r="U74">
        <f t="shared" si="11"/>
        <v>17938.638120305681</v>
      </c>
      <c r="V74">
        <f t="shared" si="11"/>
        <v>50723.003105105272</v>
      </c>
      <c r="W74" s="17">
        <f t="shared" si="11"/>
        <v>2125.5532700952617</v>
      </c>
    </row>
    <row r="75" spans="1:23" ht="16" thickBot="1" x14ac:dyDescent="0.25">
      <c r="A75" t="s">
        <v>46</v>
      </c>
      <c r="E75">
        <v>20</v>
      </c>
      <c r="F75" t="s">
        <v>25</v>
      </c>
      <c r="N75" s="10">
        <f t="shared" si="11"/>
        <v>1120.4752307315648</v>
      </c>
      <c r="O75" s="11">
        <f t="shared" si="11"/>
        <v>10679.776046032295</v>
      </c>
      <c r="P75" s="11">
        <f t="shared" ref="P75" si="13">P89/P31</f>
        <v>22954.216413444683</v>
      </c>
      <c r="Q75" s="18">
        <f t="shared" si="11"/>
        <v>41138.80078541617</v>
      </c>
      <c r="R75" s="20">
        <f t="shared" si="11"/>
        <v>2131.8999520668945</v>
      </c>
      <c r="S75" s="10">
        <f t="shared" si="11"/>
        <v>1099.5649756998439</v>
      </c>
      <c r="T75" s="11">
        <f t="shared" si="11"/>
        <v>10656.440883795713</v>
      </c>
      <c r="U75" s="19">
        <f t="shared" si="11"/>
        <v>17771.205565209115</v>
      </c>
      <c r="V75" s="19">
        <f t="shared" si="11"/>
        <v>52314.173380580396</v>
      </c>
      <c r="W75" s="12">
        <f t="shared" si="11"/>
        <v>2104.6374078372696</v>
      </c>
    </row>
    <row r="76" spans="1:23" x14ac:dyDescent="0.2">
      <c r="A76" t="s">
        <v>47</v>
      </c>
      <c r="E76">
        <v>80</v>
      </c>
      <c r="F76" t="s">
        <v>48</v>
      </c>
    </row>
    <row r="77" spans="1:23" x14ac:dyDescent="0.2">
      <c r="A77" t="s">
        <v>27</v>
      </c>
      <c r="E77">
        <v>25</v>
      </c>
    </row>
    <row r="78" spans="1:23" x14ac:dyDescent="0.2">
      <c r="A78" t="s">
        <v>49</v>
      </c>
      <c r="E78">
        <v>20</v>
      </c>
      <c r="F78" t="s">
        <v>50</v>
      </c>
    </row>
    <row r="79" spans="1:23" x14ac:dyDescent="0.2">
      <c r="A79" t="s">
        <v>51</v>
      </c>
      <c r="E79">
        <v>0</v>
      </c>
      <c r="F79" t="s">
        <v>50</v>
      </c>
    </row>
    <row r="80" spans="1:23" x14ac:dyDescent="0.2">
      <c r="A80" t="s">
        <v>28</v>
      </c>
      <c r="E80">
        <v>0</v>
      </c>
      <c r="F80" t="s">
        <v>29</v>
      </c>
    </row>
    <row r="81" spans="1:23" x14ac:dyDescent="0.2">
      <c r="A81" t="s">
        <v>52</v>
      </c>
      <c r="E81">
        <v>20000</v>
      </c>
      <c r="F81" t="s">
        <v>53</v>
      </c>
    </row>
    <row r="82" spans="1:23" x14ac:dyDescent="0.2">
      <c r="A82" t="s">
        <v>30</v>
      </c>
      <c r="E82" t="s">
        <v>31</v>
      </c>
    </row>
    <row r="83" spans="1:23" x14ac:dyDescent="0.2">
      <c r="A83" t="s">
        <v>32</v>
      </c>
      <c r="B83" s="2" t="s">
        <v>57</v>
      </c>
    </row>
    <row r="85" spans="1:23" x14ac:dyDescent="0.2">
      <c r="B85" t="s">
        <v>34</v>
      </c>
    </row>
    <row r="86" spans="1:23" x14ac:dyDescent="0.2">
      <c r="A86" s="4" t="s">
        <v>35</v>
      </c>
      <c r="B86" s="4">
        <v>2</v>
      </c>
      <c r="C86" s="4">
        <v>3</v>
      </c>
      <c r="D86" s="4">
        <v>4</v>
      </c>
      <c r="E86" s="4">
        <v>5</v>
      </c>
      <c r="F86" s="4">
        <v>6</v>
      </c>
      <c r="G86" s="4">
        <v>7</v>
      </c>
      <c r="H86" s="4">
        <v>8</v>
      </c>
      <c r="I86" s="4">
        <v>9</v>
      </c>
      <c r="J86" s="4">
        <v>10</v>
      </c>
      <c r="K86" s="4">
        <v>11</v>
      </c>
      <c r="L86" s="4">
        <v>12</v>
      </c>
    </row>
    <row r="87" spans="1:23" x14ac:dyDescent="0.2">
      <c r="A87" s="4" t="s">
        <v>36</v>
      </c>
      <c r="B87">
        <v>2457</v>
      </c>
      <c r="C87">
        <v>9134</v>
      </c>
      <c r="D87">
        <v>11485</v>
      </c>
      <c r="E87">
        <v>22692</v>
      </c>
      <c r="F87">
        <v>3015</v>
      </c>
      <c r="G87">
        <v>2419</v>
      </c>
      <c r="H87">
        <v>8392</v>
      </c>
      <c r="I87">
        <v>16969</v>
      </c>
      <c r="J87">
        <v>37145</v>
      </c>
      <c r="K87">
        <v>3050</v>
      </c>
      <c r="L87">
        <v>1223</v>
      </c>
      <c r="N87">
        <f>B87-1327</f>
        <v>1130</v>
      </c>
      <c r="O87">
        <f t="shared" ref="O87:O89" si="14">C87-1327</f>
        <v>7807</v>
      </c>
      <c r="P87">
        <f>D88-1327</f>
        <v>20795</v>
      </c>
      <c r="Q87">
        <f t="shared" ref="Q87:Q89" si="15">E87-1327</f>
        <v>21365</v>
      </c>
      <c r="R87">
        <f t="shared" ref="R87:R89" si="16">F87-1327</f>
        <v>1688</v>
      </c>
      <c r="S87">
        <f t="shared" ref="S87:S89" si="17">G87-1327</f>
        <v>1092</v>
      </c>
      <c r="T87">
        <f t="shared" ref="T87:T89" si="18">H87-1327</f>
        <v>7065</v>
      </c>
      <c r="U87">
        <f t="shared" ref="U87:U89" si="19">I87-1327</f>
        <v>15642</v>
      </c>
      <c r="V87">
        <f t="shared" ref="V87:V89" si="20">J87-1327</f>
        <v>35818</v>
      </c>
      <c r="W87">
        <f t="shared" ref="W87:W89" si="21">K87-1327</f>
        <v>1723</v>
      </c>
    </row>
    <row r="88" spans="1:23" x14ac:dyDescent="0.2">
      <c r="A88" s="4" t="s">
        <v>37</v>
      </c>
      <c r="B88">
        <v>2567</v>
      </c>
      <c r="C88">
        <v>11182</v>
      </c>
      <c r="D88">
        <v>22122</v>
      </c>
      <c r="E88">
        <v>28545</v>
      </c>
      <c r="F88">
        <v>2978</v>
      </c>
      <c r="G88">
        <v>2410</v>
      </c>
      <c r="H88">
        <v>12080</v>
      </c>
      <c r="I88">
        <v>16295</v>
      </c>
      <c r="J88">
        <v>33739</v>
      </c>
      <c r="K88">
        <v>3152</v>
      </c>
      <c r="L88">
        <v>1214</v>
      </c>
      <c r="N88">
        <f t="shared" ref="N88:N89" si="22">B88-1327</f>
        <v>1240</v>
      </c>
      <c r="O88">
        <f t="shared" si="14"/>
        <v>9855</v>
      </c>
      <c r="P88">
        <f>D87-1327</f>
        <v>10158</v>
      </c>
      <c r="Q88">
        <f t="shared" si="15"/>
        <v>27218</v>
      </c>
      <c r="R88">
        <f t="shared" si="16"/>
        <v>1651</v>
      </c>
      <c r="S88">
        <f t="shared" si="17"/>
        <v>1083</v>
      </c>
      <c r="T88">
        <f t="shared" si="18"/>
        <v>10753</v>
      </c>
      <c r="U88">
        <f t="shared" si="19"/>
        <v>14968</v>
      </c>
      <c r="V88">
        <f t="shared" si="20"/>
        <v>32412</v>
      </c>
      <c r="W88">
        <f t="shared" si="21"/>
        <v>1825</v>
      </c>
    </row>
    <row r="89" spans="1:23" x14ac:dyDescent="0.2">
      <c r="A89" s="4" t="s">
        <v>38</v>
      </c>
      <c r="B89">
        <v>2138</v>
      </c>
      <c r="C89">
        <v>11429</v>
      </c>
      <c r="D89">
        <v>17170</v>
      </c>
      <c r="E89">
        <v>29721</v>
      </c>
      <c r="F89">
        <v>3092</v>
      </c>
      <c r="G89">
        <v>2237</v>
      </c>
      <c r="H89">
        <v>12512</v>
      </c>
      <c r="I89">
        <v>17250</v>
      </c>
      <c r="J89">
        <v>39192</v>
      </c>
      <c r="K89">
        <v>2920</v>
      </c>
      <c r="L89">
        <v>1202</v>
      </c>
      <c r="N89">
        <f t="shared" si="22"/>
        <v>811</v>
      </c>
      <c r="O89">
        <f t="shared" si="14"/>
        <v>10102</v>
      </c>
      <c r="P89">
        <f t="shared" ref="P87:P89" si="23">D89-1327</f>
        <v>15843</v>
      </c>
      <c r="Q89">
        <f t="shared" si="15"/>
        <v>28394</v>
      </c>
      <c r="R89">
        <f t="shared" si="16"/>
        <v>1765</v>
      </c>
      <c r="S89">
        <f t="shared" si="17"/>
        <v>910</v>
      </c>
      <c r="T89">
        <f t="shared" si="18"/>
        <v>11185</v>
      </c>
      <c r="U89">
        <f t="shared" si="19"/>
        <v>15923</v>
      </c>
      <c r="V89">
        <f t="shared" si="20"/>
        <v>37865</v>
      </c>
      <c r="W89">
        <f t="shared" si="21"/>
        <v>1593</v>
      </c>
    </row>
    <row r="91" spans="1:23" x14ac:dyDescent="0.2">
      <c r="L91">
        <f>AVERAGE(L87:L89)</f>
        <v>1213</v>
      </c>
    </row>
    <row r="94" spans="1:23" x14ac:dyDescent="0.2">
      <c r="A94" t="s">
        <v>39</v>
      </c>
      <c r="B94" s="2" t="s">
        <v>58</v>
      </c>
    </row>
    <row r="99" spans="1:6" x14ac:dyDescent="0.2">
      <c r="A99" t="s">
        <v>59</v>
      </c>
    </row>
    <row r="100" spans="1:6" x14ac:dyDescent="0.2">
      <c r="A100" t="s">
        <v>22</v>
      </c>
      <c r="E100" t="s">
        <v>42</v>
      </c>
    </row>
    <row r="101" spans="1:6" x14ac:dyDescent="0.2">
      <c r="A101" t="s">
        <v>43</v>
      </c>
      <c r="E101">
        <v>488</v>
      </c>
      <c r="F101" t="s">
        <v>25</v>
      </c>
    </row>
    <row r="102" spans="1:6" x14ac:dyDescent="0.2">
      <c r="A102" t="s">
        <v>44</v>
      </c>
      <c r="E102">
        <v>520</v>
      </c>
      <c r="F102" t="s">
        <v>25</v>
      </c>
    </row>
    <row r="103" spans="1:6" x14ac:dyDescent="0.2">
      <c r="A103" t="s">
        <v>45</v>
      </c>
      <c r="E103">
        <v>9</v>
      </c>
      <c r="F103" t="s">
        <v>25</v>
      </c>
    </row>
    <row r="104" spans="1:6" x14ac:dyDescent="0.2">
      <c r="A104" t="s">
        <v>46</v>
      </c>
      <c r="E104">
        <v>20</v>
      </c>
      <c r="F104" t="s">
        <v>25</v>
      </c>
    </row>
    <row r="105" spans="1:6" x14ac:dyDescent="0.2">
      <c r="A105" t="s">
        <v>47</v>
      </c>
      <c r="E105">
        <v>100</v>
      </c>
      <c r="F105" t="s">
        <v>48</v>
      </c>
    </row>
    <row r="106" spans="1:6" x14ac:dyDescent="0.2">
      <c r="A106" t="s">
        <v>27</v>
      </c>
      <c r="E106">
        <v>25</v>
      </c>
    </row>
    <row r="107" spans="1:6" x14ac:dyDescent="0.2">
      <c r="A107" t="s">
        <v>49</v>
      </c>
      <c r="E107">
        <v>20</v>
      </c>
      <c r="F107" t="s">
        <v>50</v>
      </c>
    </row>
    <row r="108" spans="1:6" x14ac:dyDescent="0.2">
      <c r="A108" t="s">
        <v>51</v>
      </c>
      <c r="E108">
        <v>0</v>
      </c>
      <c r="F108" t="s">
        <v>50</v>
      </c>
    </row>
    <row r="109" spans="1:6" x14ac:dyDescent="0.2">
      <c r="A109" t="s">
        <v>28</v>
      </c>
      <c r="E109">
        <v>0</v>
      </c>
      <c r="F109" t="s">
        <v>29</v>
      </c>
    </row>
    <row r="110" spans="1:6" x14ac:dyDescent="0.2">
      <c r="A110" t="s">
        <v>52</v>
      </c>
      <c r="E110">
        <v>20000</v>
      </c>
      <c r="F110" t="s">
        <v>53</v>
      </c>
    </row>
    <row r="111" spans="1:6" x14ac:dyDescent="0.2">
      <c r="A111" t="s">
        <v>30</v>
      </c>
      <c r="E111" t="s">
        <v>31</v>
      </c>
    </row>
    <row r="112" spans="1:6" x14ac:dyDescent="0.2">
      <c r="A112" t="s">
        <v>32</v>
      </c>
      <c r="B112" s="2" t="s">
        <v>60</v>
      </c>
    </row>
    <row r="114" spans="1:12" x14ac:dyDescent="0.2">
      <c r="B114" t="s">
        <v>34</v>
      </c>
    </row>
    <row r="115" spans="1:12" x14ac:dyDescent="0.2">
      <c r="A115" s="4" t="s">
        <v>35</v>
      </c>
      <c r="B115" s="4">
        <v>2</v>
      </c>
      <c r="C115" s="4">
        <v>3</v>
      </c>
      <c r="D115" s="4">
        <v>4</v>
      </c>
      <c r="E115" s="4">
        <v>5</v>
      </c>
      <c r="F115" s="4">
        <v>6</v>
      </c>
      <c r="G115" s="4">
        <v>7</v>
      </c>
      <c r="H115" s="4">
        <v>8</v>
      </c>
      <c r="I115" s="4">
        <v>9</v>
      </c>
      <c r="J115" s="4">
        <v>10</v>
      </c>
      <c r="K115" s="4">
        <v>11</v>
      </c>
      <c r="L115" s="4">
        <v>12</v>
      </c>
    </row>
    <row r="116" spans="1:12" x14ac:dyDescent="0.2">
      <c r="A116" s="4" t="s">
        <v>36</v>
      </c>
      <c r="B116">
        <v>11899</v>
      </c>
      <c r="C116">
        <v>43573</v>
      </c>
      <c r="D116" s="5" t="s">
        <v>61</v>
      </c>
      <c r="E116" s="5" t="s">
        <v>61</v>
      </c>
      <c r="F116">
        <v>14424</v>
      </c>
      <c r="G116">
        <v>11687</v>
      </c>
      <c r="H116">
        <v>40008</v>
      </c>
      <c r="I116" s="5" t="s">
        <v>61</v>
      </c>
      <c r="J116" s="5" t="s">
        <v>61</v>
      </c>
      <c r="K116">
        <v>14576</v>
      </c>
      <c r="L116">
        <v>7200</v>
      </c>
    </row>
    <row r="117" spans="1:12" x14ac:dyDescent="0.2">
      <c r="A117" s="4" t="s">
        <v>37</v>
      </c>
      <c r="B117">
        <v>12296</v>
      </c>
      <c r="C117">
        <v>53211</v>
      </c>
      <c r="D117" s="5" t="s">
        <v>61</v>
      </c>
      <c r="E117" s="5" t="s">
        <v>61</v>
      </c>
      <c r="F117">
        <v>14328</v>
      </c>
      <c r="G117">
        <v>11670</v>
      </c>
      <c r="H117">
        <v>57745</v>
      </c>
      <c r="I117" s="5" t="s">
        <v>61</v>
      </c>
      <c r="J117" s="5" t="s">
        <v>61</v>
      </c>
      <c r="K117">
        <v>15207</v>
      </c>
      <c r="L117">
        <v>7258</v>
      </c>
    </row>
    <row r="118" spans="1:12" x14ac:dyDescent="0.2">
      <c r="A118" s="4" t="s">
        <v>38</v>
      </c>
      <c r="B118">
        <v>10329</v>
      </c>
      <c r="C118">
        <v>54677</v>
      </c>
      <c r="D118" s="5" t="s">
        <v>61</v>
      </c>
      <c r="E118" s="5" t="s">
        <v>61</v>
      </c>
      <c r="F118">
        <v>14790</v>
      </c>
      <c r="G118">
        <v>10723</v>
      </c>
      <c r="H118">
        <v>59298</v>
      </c>
      <c r="I118" s="5" t="s">
        <v>61</v>
      </c>
      <c r="J118" s="5" t="s">
        <v>61</v>
      </c>
      <c r="K118">
        <v>14011</v>
      </c>
      <c r="L118">
        <v>7166</v>
      </c>
    </row>
    <row r="123" spans="1:12" x14ac:dyDescent="0.2">
      <c r="A123" t="s">
        <v>39</v>
      </c>
      <c r="B123" s="2" t="s">
        <v>62</v>
      </c>
    </row>
  </sheetData>
  <mergeCells count="2">
    <mergeCell ref="N71:R71"/>
    <mergeCell ref="S71:W7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2025-09-11T20:08:35Z</dcterms:created>
  <dcterms:modified xsi:type="dcterms:W3CDTF">2026-01-24T22:40:40Z</dcterms:modified>
</cp:coreProperties>
</file>