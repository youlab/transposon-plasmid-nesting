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8"/>
  <workbookPr/>
  <mc:AlternateContent xmlns:mc="http://schemas.openxmlformats.org/markup-compatibility/2006">
    <mc:Choice Requires="x15">
      <x15ac:absPath xmlns:x15ac="http://schemas.microsoft.com/office/spreadsheetml/2010/11/ac" url="/Users/ychha/Desktop/Systems Biology/Mine/Plasmid-Transposon/Exp/tetA/Revision/"/>
    </mc:Choice>
  </mc:AlternateContent>
  <xr:revisionPtr revIDLastSave="0" documentId="13_ncr:1_{39CFB3F0-CDA0-8B4D-A8BF-23356C552D01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tet10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8" i="6" l="1"/>
  <c r="Q78" i="6"/>
  <c r="P78" i="6"/>
  <c r="O78" i="6"/>
  <c r="N78" i="6"/>
  <c r="W76" i="6"/>
  <c r="W78" i="6" s="1"/>
  <c r="V76" i="6"/>
  <c r="V78" i="6" s="1"/>
  <c r="U76" i="6"/>
  <c r="T76" i="6"/>
  <c r="T78" i="6" s="1"/>
  <c r="S76" i="6"/>
  <c r="S78" i="6" s="1"/>
  <c r="R76" i="6"/>
  <c r="R78" i="6" s="1"/>
  <c r="Q76" i="6"/>
  <c r="P76" i="6"/>
  <c r="O76" i="6"/>
  <c r="N76" i="6"/>
  <c r="W74" i="6"/>
  <c r="V74" i="6"/>
  <c r="U74" i="6"/>
  <c r="T74" i="6"/>
  <c r="S74" i="6"/>
  <c r="R74" i="6"/>
  <c r="Q74" i="6"/>
  <c r="P74" i="6"/>
  <c r="O74" i="6"/>
  <c r="W73" i="6"/>
  <c r="V73" i="6"/>
  <c r="U73" i="6"/>
  <c r="T73" i="6"/>
  <c r="S73" i="6"/>
  <c r="R73" i="6"/>
  <c r="Q73" i="6"/>
  <c r="P73" i="6"/>
  <c r="O73" i="6"/>
  <c r="W72" i="6"/>
  <c r="V72" i="6"/>
  <c r="U72" i="6"/>
  <c r="T72" i="6"/>
  <c r="S72" i="6"/>
  <c r="R72" i="6"/>
  <c r="Q72" i="6"/>
  <c r="P72" i="6"/>
  <c r="O72" i="6"/>
  <c r="W71" i="6"/>
  <c r="V71" i="6"/>
  <c r="U71" i="6"/>
  <c r="T71" i="6"/>
  <c r="S71" i="6"/>
  <c r="R71" i="6"/>
  <c r="Q71" i="6"/>
  <c r="P71" i="6"/>
  <c r="O71" i="6"/>
  <c r="W70" i="6"/>
  <c r="V70" i="6"/>
  <c r="U70" i="6"/>
  <c r="T70" i="6"/>
  <c r="S70" i="6"/>
  <c r="R70" i="6"/>
  <c r="Q70" i="6"/>
  <c r="P70" i="6"/>
  <c r="O70" i="6"/>
  <c r="N74" i="6"/>
  <c r="N73" i="6"/>
  <c r="N72" i="6"/>
  <c r="N71" i="6"/>
  <c r="N70" i="6"/>
  <c r="W95" i="6"/>
  <c r="V95" i="6"/>
  <c r="U95" i="6"/>
  <c r="T95" i="6"/>
  <c r="S95" i="6"/>
  <c r="W94" i="6"/>
  <c r="V94" i="6"/>
  <c r="U94" i="6"/>
  <c r="T94" i="6"/>
  <c r="S94" i="6"/>
  <c r="W93" i="6"/>
  <c r="V93" i="6"/>
  <c r="U93" i="6"/>
  <c r="T93" i="6"/>
  <c r="S93" i="6"/>
  <c r="W92" i="6"/>
  <c r="V92" i="6"/>
  <c r="U92" i="6"/>
  <c r="T92" i="6"/>
  <c r="S92" i="6"/>
  <c r="W91" i="6"/>
  <c r="V91" i="6"/>
  <c r="U91" i="6"/>
  <c r="T91" i="6"/>
  <c r="S91" i="6"/>
  <c r="R95" i="6"/>
  <c r="Q95" i="6"/>
  <c r="P95" i="6"/>
  <c r="O95" i="6"/>
  <c r="R94" i="6"/>
  <c r="Q94" i="6"/>
  <c r="P94" i="6"/>
  <c r="O94" i="6"/>
  <c r="R93" i="6"/>
  <c r="Q93" i="6"/>
  <c r="P93" i="6"/>
  <c r="O93" i="6"/>
  <c r="R92" i="6"/>
  <c r="Q92" i="6"/>
  <c r="P92" i="6"/>
  <c r="O92" i="6"/>
  <c r="R91" i="6"/>
  <c r="Q91" i="6"/>
  <c r="P91" i="6"/>
  <c r="O91" i="6"/>
  <c r="N95" i="6"/>
  <c r="N94" i="6"/>
  <c r="N93" i="6"/>
  <c r="N92" i="6"/>
  <c r="N91" i="6"/>
  <c r="L97" i="6"/>
  <c r="W33" i="6"/>
  <c r="V33" i="6"/>
  <c r="U33" i="6"/>
  <c r="T33" i="6"/>
  <c r="S33" i="6"/>
  <c r="W32" i="6"/>
  <c r="V32" i="6"/>
  <c r="U32" i="6"/>
  <c r="T32" i="6"/>
  <c r="S32" i="6"/>
  <c r="W31" i="6"/>
  <c r="V31" i="6"/>
  <c r="U31" i="6"/>
  <c r="T31" i="6"/>
  <c r="S31" i="6"/>
  <c r="W30" i="6"/>
  <c r="V30" i="6"/>
  <c r="U30" i="6"/>
  <c r="T30" i="6"/>
  <c r="S30" i="6"/>
  <c r="W29" i="6"/>
  <c r="V29" i="6"/>
  <c r="U29" i="6"/>
  <c r="T29" i="6"/>
  <c r="S29" i="6"/>
  <c r="R33" i="6"/>
  <c r="Q33" i="6"/>
  <c r="P33" i="6"/>
  <c r="O33" i="6"/>
  <c r="R32" i="6"/>
  <c r="Q32" i="6"/>
  <c r="P32" i="6"/>
  <c r="O32" i="6"/>
  <c r="R31" i="6"/>
  <c r="Q31" i="6"/>
  <c r="P31" i="6"/>
  <c r="O31" i="6"/>
  <c r="R30" i="6"/>
  <c r="Q30" i="6"/>
  <c r="P30" i="6"/>
  <c r="O30" i="6"/>
  <c r="R29" i="6"/>
  <c r="Q29" i="6"/>
  <c r="P29" i="6"/>
  <c r="O29" i="6"/>
  <c r="N33" i="6"/>
  <c r="N32" i="6"/>
  <c r="N31" i="6"/>
  <c r="N30" i="6"/>
  <c r="N29" i="6"/>
  <c r="L35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Tecan</author>
  </authors>
  <commentList>
    <comment ref="E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EHC, V_5.23_05/17_InfiniteRX (May  9 2017/12.19.53)
MTP, V_5.23_05/17_InfiniteRX (May  9 2017/12.19.53)
HCP, V_5.23_05/17_InfiniteRX (May  9 2017/12.19.53)
MEM, V_3.00_09/11_MCR (Sep 27 2011/15.05.45)
MEX, V_3.00_09/11_MCR (Sep 27 2011/15.05.10)
ZSCAN, V_5.23_05/17_InfiniteRX (May  9 2017/12.19.53)
</t>
        </r>
      </text>
    </comment>
  </commentList>
</comments>
</file>

<file path=xl/sharedStrings.xml><?xml version="1.0" encoding="utf-8"?>
<sst xmlns="http://schemas.openxmlformats.org/spreadsheetml/2006/main" count="173" uniqueCount="72">
  <si>
    <t>Application: Tecan i-control</t>
  </si>
  <si>
    <t>Tecan i-control , 2.0.10.0</t>
  </si>
  <si>
    <t>Device: infinite 200Pro</t>
  </si>
  <si>
    <t>Serial number: 1705009483</t>
  </si>
  <si>
    <t>Serial number of connected stacker:</t>
  </si>
  <si>
    <t>Firmware: V_5.23_05/17_InfiniteRX (May  9 2017/12.19.53)</t>
  </si>
  <si>
    <t>MAI, V_5.23_05/17_InfiniteRX (May  9 2017/12.19.53)</t>
  </si>
  <si>
    <t>Date:</t>
  </si>
  <si>
    <t>Time:</t>
  </si>
  <si>
    <t>System</t>
  </si>
  <si>
    <t>TECAN-HP</t>
  </si>
  <si>
    <t>User</t>
  </si>
  <si>
    <t>Tecan-HP\Tecan</t>
  </si>
  <si>
    <t>Plate</t>
  </si>
  <si>
    <t>Corning 96 Flat Bottom Black Polystyrene Cat. No.: 3631 [COR96fb clear bottom.pdfx]</t>
  </si>
  <si>
    <t>Plate-ID (Stacker)</t>
  </si>
  <si>
    <t>Shaking (Orbital) Duration:</t>
  </si>
  <si>
    <t>s</t>
  </si>
  <si>
    <t>Shaking (Orbital)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</si>
  <si>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</si>
  <si>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</si>
  <si>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</si>
  <si>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</si>
  <si>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</si>
  <si>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</si>
  <si>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</si>
  <si>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</si>
  <si>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</si>
  <si>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</si>
  <si>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Part of Plate</t>
  </si>
  <si>
    <t>Start Time:</t>
  </si>
  <si>
    <t>&lt;&gt;</t>
  </si>
  <si>
    <t>B</t>
  </si>
  <si>
    <t>End Time:</t>
  </si>
  <si>
    <t>4:23:47 PM</t>
  </si>
  <si>
    <t>B2-F12</t>
  </si>
  <si>
    <t>9/12/2025 4:23:52 PM</t>
  </si>
  <si>
    <t>Temperature: 27.3 °C</t>
  </si>
  <si>
    <t>C</t>
  </si>
  <si>
    <t>D</t>
  </si>
  <si>
    <t>E</t>
  </si>
  <si>
    <t>F</t>
  </si>
  <si>
    <t>9/12/2025 4:24:19 PM</t>
  </si>
  <si>
    <t>Label: gfp50</t>
  </si>
  <si>
    <t>Fluorescence Top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</si>
  <si>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</si>
  <si>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</si>
  <si>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</si>
  <si>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</si>
  <si>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</si>
  <si>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</si>
  <si>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</si>
  <si>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</si>
  <si>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</si>
  <si>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Z-Position (Manual)</t>
  </si>
  <si>
    <t>µm</t>
  </si>
  <si>
    <t>9/12/2025 4:24:23 PM</t>
  </si>
  <si>
    <t>9/12/2025 4:25:12 PM</t>
  </si>
  <si>
    <t>Label: gfp 80</t>
  </si>
  <si>
    <t>9/12/2025 4:25:19 PM</t>
  </si>
  <si>
    <t>9/12/2025 4:26:07 PM</t>
  </si>
  <si>
    <t>Label: gfp100</t>
  </si>
  <si>
    <t>9/12/2025 4:26:15 PM</t>
  </si>
  <si>
    <t>OVER</t>
  </si>
  <si>
    <t>9/12/2025 4:27:03 PM</t>
  </si>
  <si>
    <t>Kan+</t>
  </si>
  <si>
    <t>Kan-</t>
  </si>
  <si>
    <t>p15A</t>
  </si>
  <si>
    <t>pBR</t>
  </si>
  <si>
    <t>CloDF</t>
  </si>
  <si>
    <t>pUC</t>
  </si>
  <si>
    <t>p15A,++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</si>
</sst>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15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0" fontId="1" fillId="9" borderId="0" xfId="0" applyFont="1" applyFill="1"/>
    <xf numFmtId="0" fontId="1" fillId="2" borderId="0" xfId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center" vertical="center"/>
    </xf>
  </cellXfs>
  <cellStyles count="8">
    <cellStyle name="Normal" xfId="0" builtinId="0"/>
    <cellStyle name="Tecan.At.Excel.Attenuation" xfId="6" xr:uid="{00000000-0005-0000-0000-000001000000}"/>
    <cellStyle name="Tecan.At.Excel.AutoGain_0" xfId="7" xr:uid="{00000000-0005-0000-0000-000002000000}"/>
    <cellStyle name="Tecan.At.Excel.Error" xfId="1" xr:uid="{00000000-0005-0000-0000-000003000000}"/>
    <cellStyle name="Tecan.At.Excel.GFactorAndMeasurementBlank" xfId="5" xr:uid="{00000000-0005-0000-0000-000004000000}"/>
    <cellStyle name="Tecan.At.Excel.GFactorBlank" xfId="3" xr:uid="{00000000-0005-0000-0000-000005000000}"/>
    <cellStyle name="Tecan.At.Excel.GFactorReference" xfId="4" xr:uid="{00000000-0005-0000-0000-000006000000}"/>
    <cellStyle name="Tecan.At.Excel.MeasurementBlank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1"/>
  <sheetViews>
    <sheetView tabSelected="1" topLeftCell="E56" workbookViewId="0">
      <selection activeCell="N76" sqref="N76:W78"/>
    </sheetView>
  </sheetViews>
  <sheetFormatPr baseColWidth="10" defaultColWidth="8.83203125" defaultRowHeight="15" x14ac:dyDescent="0.2"/>
  <sheetData>
    <row r="1" spans="1:12" x14ac:dyDescent="0.2">
      <c r="A1" t="s">
        <v>0</v>
      </c>
      <c r="E1" t="s">
        <v>1</v>
      </c>
    </row>
    <row r="2" spans="1:12" x14ac:dyDescent="0.2">
      <c r="A2" t="s">
        <v>2</v>
      </c>
      <c r="E2" t="s">
        <v>3</v>
      </c>
      <c r="I2" t="s">
        <v>4</v>
      </c>
    </row>
    <row r="3" spans="1:12" x14ac:dyDescent="0.2">
      <c r="A3" t="s">
        <v>5</v>
      </c>
      <c r="E3" t="s">
        <v>6</v>
      </c>
    </row>
    <row r="5" spans="1:12" x14ac:dyDescent="0.2">
      <c r="A5" t="s">
        <v>7</v>
      </c>
      <c r="B5" s="1">
        <v>45912</v>
      </c>
    </row>
    <row r="6" spans="1:12" x14ac:dyDescent="0.2">
      <c r="A6" t="s">
        <v>8</v>
      </c>
      <c r="B6" s="2" t="s">
        <v>34</v>
      </c>
    </row>
    <row r="9" spans="1:12" x14ac:dyDescent="0.2">
      <c r="A9" t="s">
        <v>9</v>
      </c>
      <c r="E9" t="s">
        <v>10</v>
      </c>
    </row>
    <row r="10" spans="1:12" x14ac:dyDescent="0.2">
      <c r="A10" t="s">
        <v>11</v>
      </c>
      <c r="E10" t="s">
        <v>12</v>
      </c>
    </row>
    <row r="11" spans="1:12" x14ac:dyDescent="0.2">
      <c r="A11" t="s">
        <v>13</v>
      </c>
      <c r="E11" t="s">
        <v>14</v>
      </c>
    </row>
    <row r="12" spans="1:12" x14ac:dyDescent="0.2">
      <c r="A12" t="s">
        <v>15</v>
      </c>
    </row>
    <row r="14" spans="1:12" x14ac:dyDescent="0.2">
      <c r="A14" s="3" t="s">
        <v>16</v>
      </c>
      <c r="B14" s="3"/>
      <c r="C14" s="3"/>
      <c r="D14" s="3"/>
      <c r="E14" s="3">
        <v>5</v>
      </c>
      <c r="F14" s="3" t="s">
        <v>17</v>
      </c>
      <c r="G14" s="3"/>
      <c r="H14" s="3"/>
      <c r="I14" s="3"/>
      <c r="J14" s="3"/>
      <c r="K14" s="3"/>
      <c r="L14" s="3"/>
    </row>
    <row r="15" spans="1:12" x14ac:dyDescent="0.2">
      <c r="A15" s="3" t="s">
        <v>18</v>
      </c>
      <c r="B15" s="3"/>
      <c r="C15" s="3"/>
      <c r="D15" s="3"/>
      <c r="E15" s="3">
        <v>2</v>
      </c>
      <c r="F15" s="3" t="s">
        <v>19</v>
      </c>
      <c r="G15" s="3"/>
      <c r="H15" s="3"/>
      <c r="I15" s="3"/>
      <c r="J15" s="3"/>
      <c r="K15" s="3"/>
      <c r="L15" s="3"/>
    </row>
    <row r="18" spans="1:23" x14ac:dyDescent="0.2">
      <c r="A18" t="s">
        <v>20</v>
      </c>
    </row>
    <row r="19" spans="1:23" x14ac:dyDescent="0.2">
      <c r="A19" t="s">
        <v>21</v>
      </c>
      <c r="E19" t="s">
        <v>22</v>
      </c>
    </row>
    <row r="20" spans="1:23" x14ac:dyDescent="0.2">
      <c r="A20" t="s">
        <v>23</v>
      </c>
      <c r="E20">
        <v>600</v>
      </c>
      <c r="F20" t="s">
        <v>24</v>
      </c>
    </row>
    <row r="21" spans="1:23" x14ac:dyDescent="0.2">
      <c r="A21" t="s">
        <v>25</v>
      </c>
      <c r="E21">
        <v>9</v>
      </c>
      <c r="F21" t="s">
        <v>24</v>
      </c>
    </row>
    <row r="22" spans="1:23" x14ac:dyDescent="0.2">
      <c r="A22" t="s">
        <v>26</v>
      </c>
      <c r="E22">
        <v>10</v>
      </c>
    </row>
    <row r="23" spans="1:23" x14ac:dyDescent="0.2">
      <c r="A23" t="s">
        <v>27</v>
      </c>
      <c r="E23">
        <v>0</v>
      </c>
      <c r="F23" t="s">
        <v>28</v>
      </c>
    </row>
    <row r="24" spans="1:23" x14ac:dyDescent="0.2">
      <c r="A24" t="s">
        <v>29</v>
      </c>
      <c r="E24" t="s">
        <v>35</v>
      </c>
    </row>
    <row r="25" spans="1:23" x14ac:dyDescent="0.2">
      <c r="A25" t="s">
        <v>30</v>
      </c>
      <c r="B25" s="2" t="s">
        <v>36</v>
      </c>
    </row>
    <row r="27" spans="1:23" x14ac:dyDescent="0.2">
      <c r="B27" t="s">
        <v>37</v>
      </c>
    </row>
    <row r="28" spans="1:23" x14ac:dyDescent="0.2">
      <c r="A28" s="4" t="s">
        <v>31</v>
      </c>
      <c r="B28" s="4">
        <v>2</v>
      </c>
      <c r="C28" s="4">
        <v>3</v>
      </c>
      <c r="D28" s="4">
        <v>4</v>
      </c>
      <c r="E28" s="4">
        <v>5</v>
      </c>
      <c r="F28" s="4">
        <v>6</v>
      </c>
      <c r="G28" s="4">
        <v>7</v>
      </c>
      <c r="H28" s="4">
        <v>8</v>
      </c>
      <c r="I28" s="4">
        <v>9</v>
      </c>
      <c r="J28" s="4">
        <v>10</v>
      </c>
      <c r="K28" s="4">
        <v>11</v>
      </c>
      <c r="L28" s="4">
        <v>12</v>
      </c>
    </row>
    <row r="29" spans="1:23" x14ac:dyDescent="0.2">
      <c r="A29" s="4" t="s">
        <v>32</v>
      </c>
      <c r="B29">
        <v>1.0805000066757202</v>
      </c>
      <c r="C29">
        <v>1.0795999765396118</v>
      </c>
      <c r="D29">
        <v>0.86360001564025879</v>
      </c>
      <c r="E29">
        <v>0.84490001201629639</v>
      </c>
      <c r="F29">
        <v>0.99639999866485596</v>
      </c>
      <c r="G29">
        <v>1.0987000465393066</v>
      </c>
      <c r="H29">
        <v>1.1085000038146973</v>
      </c>
      <c r="I29">
        <v>0.93870002031326294</v>
      </c>
      <c r="J29">
        <v>0.91019999980926514</v>
      </c>
      <c r="K29">
        <v>1.0332000255584717</v>
      </c>
      <c r="L29">
        <v>4.0899999439716339E-2</v>
      </c>
      <c r="N29">
        <f t="shared" ref="N29:W33" si="0">B29-0.041</f>
        <v>1.0395000066757203</v>
      </c>
      <c r="O29">
        <f t="shared" si="0"/>
        <v>1.0385999765396119</v>
      </c>
      <c r="P29">
        <f t="shared" si="0"/>
        <v>0.82260001564025875</v>
      </c>
      <c r="Q29">
        <f t="shared" si="0"/>
        <v>0.80390001201629635</v>
      </c>
      <c r="R29">
        <f t="shared" si="0"/>
        <v>0.95539999866485592</v>
      </c>
      <c r="S29">
        <f t="shared" si="0"/>
        <v>1.0577000465393067</v>
      </c>
      <c r="T29">
        <f t="shared" si="0"/>
        <v>1.0675000038146973</v>
      </c>
      <c r="U29">
        <f t="shared" si="0"/>
        <v>0.8977000203132629</v>
      </c>
      <c r="V29">
        <f t="shared" si="0"/>
        <v>0.8691999998092651</v>
      </c>
      <c r="W29">
        <f t="shared" si="0"/>
        <v>0.99220002555847164</v>
      </c>
    </row>
    <row r="30" spans="1:23" x14ac:dyDescent="0.2">
      <c r="A30" s="4" t="s">
        <v>38</v>
      </c>
      <c r="B30">
        <v>1.0131000280380249</v>
      </c>
      <c r="C30">
        <v>1.0262999534606934</v>
      </c>
      <c r="D30">
        <v>0.97790002822875977</v>
      </c>
      <c r="E30">
        <v>0.81989997625350952</v>
      </c>
      <c r="F30">
        <v>1.1334999799728394</v>
      </c>
      <c r="G30">
        <v>1.1217999458312988</v>
      </c>
      <c r="H30">
        <v>0.83819997310638428</v>
      </c>
      <c r="I30">
        <v>0.8343999981880188</v>
      </c>
      <c r="J30">
        <v>0.78259998559951782</v>
      </c>
      <c r="K30">
        <v>0.97359997034072876</v>
      </c>
      <c r="L30">
        <v>4.050000011920929E-2</v>
      </c>
      <c r="N30">
        <f t="shared" si="0"/>
        <v>0.97210002803802487</v>
      </c>
      <c r="O30">
        <f t="shared" si="0"/>
        <v>0.98529995346069332</v>
      </c>
      <c r="P30">
        <f t="shared" si="0"/>
        <v>0.93690002822875973</v>
      </c>
      <c r="Q30">
        <f t="shared" si="0"/>
        <v>0.77889997625350949</v>
      </c>
      <c r="R30">
        <f t="shared" si="0"/>
        <v>1.0924999799728394</v>
      </c>
      <c r="S30">
        <f t="shared" si="0"/>
        <v>1.0807999458312989</v>
      </c>
      <c r="T30">
        <f t="shared" si="0"/>
        <v>0.79719997310638424</v>
      </c>
      <c r="U30">
        <f t="shared" si="0"/>
        <v>0.79339999818801876</v>
      </c>
      <c r="V30">
        <f t="shared" si="0"/>
        <v>0.74159998559951779</v>
      </c>
      <c r="W30">
        <f t="shared" si="0"/>
        <v>0.93259997034072872</v>
      </c>
    </row>
    <row r="31" spans="1:23" x14ac:dyDescent="0.2">
      <c r="A31" s="4" t="s">
        <v>39</v>
      </c>
      <c r="B31">
        <v>1.0602999925613403</v>
      </c>
      <c r="C31">
        <v>1.0002000331878662</v>
      </c>
      <c r="D31">
        <v>1.0266000032424927</v>
      </c>
      <c r="E31">
        <v>0.91140002012252808</v>
      </c>
      <c r="F31">
        <v>1.0612000226974487</v>
      </c>
      <c r="G31">
        <v>1.1297999620437622</v>
      </c>
      <c r="H31">
        <v>1.0635999441146851</v>
      </c>
      <c r="I31">
        <v>0.87400001287460327</v>
      </c>
      <c r="J31">
        <v>0.86559998989105225</v>
      </c>
      <c r="K31">
        <v>0.98650002479553223</v>
      </c>
      <c r="L31">
        <v>4.050000011920929E-2</v>
      </c>
      <c r="N31">
        <f t="shared" si="0"/>
        <v>1.0192999925613404</v>
      </c>
      <c r="O31">
        <f t="shared" si="0"/>
        <v>0.95920003318786617</v>
      </c>
      <c r="P31">
        <f t="shared" si="0"/>
        <v>0.98560000324249264</v>
      </c>
      <c r="Q31">
        <f t="shared" si="0"/>
        <v>0.87040002012252804</v>
      </c>
      <c r="R31">
        <f t="shared" si="0"/>
        <v>1.0202000226974488</v>
      </c>
      <c r="S31">
        <f t="shared" si="0"/>
        <v>1.0887999620437623</v>
      </c>
      <c r="T31">
        <f t="shared" si="0"/>
        <v>1.0225999441146851</v>
      </c>
      <c r="U31">
        <f t="shared" si="0"/>
        <v>0.83300001287460324</v>
      </c>
      <c r="V31">
        <f t="shared" si="0"/>
        <v>0.82459998989105221</v>
      </c>
      <c r="W31">
        <f t="shared" si="0"/>
        <v>0.94550002479553219</v>
      </c>
    </row>
    <row r="32" spans="1:23" x14ac:dyDescent="0.2">
      <c r="A32" s="4" t="s">
        <v>40</v>
      </c>
      <c r="B32">
        <v>1.1165000200271606</v>
      </c>
      <c r="C32">
        <v>1.0887000560760498</v>
      </c>
      <c r="D32">
        <v>1.0276000499725342</v>
      </c>
      <c r="E32">
        <v>0.73619997501373291</v>
      </c>
      <c r="F32">
        <v>1.1430000066757202</v>
      </c>
      <c r="G32">
        <v>0.88510000705718994</v>
      </c>
      <c r="H32">
        <v>1.1454999446868896</v>
      </c>
      <c r="I32">
        <v>0.75950002670288086</v>
      </c>
      <c r="J32">
        <v>0.91509997844696045</v>
      </c>
      <c r="K32">
        <v>0.78229999542236328</v>
      </c>
      <c r="L32">
        <v>4.4599998742341995E-2</v>
      </c>
      <c r="N32">
        <f t="shared" si="0"/>
        <v>1.0755000200271607</v>
      </c>
      <c r="O32">
        <f t="shared" si="0"/>
        <v>1.0477000560760499</v>
      </c>
      <c r="P32">
        <f t="shared" si="0"/>
        <v>0.98660004997253414</v>
      </c>
      <c r="Q32">
        <f t="shared" si="0"/>
        <v>0.69519997501373287</v>
      </c>
      <c r="R32">
        <f t="shared" si="0"/>
        <v>1.1020000066757203</v>
      </c>
      <c r="S32">
        <f t="shared" si="0"/>
        <v>0.8441000070571899</v>
      </c>
      <c r="T32">
        <f t="shared" si="0"/>
        <v>1.1044999446868897</v>
      </c>
      <c r="U32">
        <f t="shared" si="0"/>
        <v>0.71850002670288082</v>
      </c>
      <c r="V32">
        <f t="shared" si="0"/>
        <v>0.87409997844696041</v>
      </c>
      <c r="W32">
        <f t="shared" si="0"/>
        <v>0.74129999542236324</v>
      </c>
    </row>
    <row r="33" spans="1:23" x14ac:dyDescent="0.2">
      <c r="A33" s="4" t="s">
        <v>41</v>
      </c>
      <c r="B33">
        <v>1.052899956703186</v>
      </c>
      <c r="C33">
        <v>1.021399974822998</v>
      </c>
      <c r="D33">
        <v>0.98040002584457397</v>
      </c>
      <c r="E33">
        <v>0.94809997081756592</v>
      </c>
      <c r="F33">
        <v>0.96280002593994141</v>
      </c>
      <c r="G33">
        <v>1.0512000322341919</v>
      </c>
      <c r="H33">
        <v>1.0760999917984009</v>
      </c>
      <c r="I33">
        <v>0.94529998302459717</v>
      </c>
      <c r="J33">
        <v>0.90369999408721924</v>
      </c>
      <c r="K33">
        <v>1.0578999519348145</v>
      </c>
      <c r="L33">
        <v>4.4599998742341995E-2</v>
      </c>
      <c r="N33">
        <f t="shared" si="0"/>
        <v>1.0118999567031861</v>
      </c>
      <c r="O33">
        <f t="shared" si="0"/>
        <v>0.98039997482299801</v>
      </c>
      <c r="P33">
        <f t="shared" si="0"/>
        <v>0.93940002584457394</v>
      </c>
      <c r="Q33">
        <f t="shared" si="0"/>
        <v>0.90709997081756588</v>
      </c>
      <c r="R33">
        <f t="shared" si="0"/>
        <v>0.92180002593994137</v>
      </c>
      <c r="S33">
        <f t="shared" si="0"/>
        <v>1.010200032234192</v>
      </c>
      <c r="T33">
        <f t="shared" si="0"/>
        <v>1.035099991798401</v>
      </c>
      <c r="U33">
        <f t="shared" si="0"/>
        <v>0.90429998302459713</v>
      </c>
      <c r="V33">
        <f t="shared" si="0"/>
        <v>0.8626999940872192</v>
      </c>
      <c r="W33">
        <f t="shared" si="0"/>
        <v>1.0168999519348145</v>
      </c>
    </row>
    <row r="35" spans="1:23" x14ac:dyDescent="0.2">
      <c r="L35">
        <f>AVERAGE(L29:L31)</f>
        <v>4.0633333226044975E-2</v>
      </c>
    </row>
    <row r="38" spans="1:23" x14ac:dyDescent="0.2">
      <c r="A38" t="s">
        <v>33</v>
      </c>
      <c r="B38" s="2" t="s">
        <v>42</v>
      </c>
    </row>
    <row r="43" spans="1:23" x14ac:dyDescent="0.2">
      <c r="A43" t="s">
        <v>43</v>
      </c>
    </row>
    <row r="44" spans="1:23" x14ac:dyDescent="0.2">
      <c r="A44" t="s">
        <v>21</v>
      </c>
      <c r="E44" t="s">
        <v>44</v>
      </c>
    </row>
    <row r="45" spans="1:23" x14ac:dyDescent="0.2">
      <c r="A45" t="s">
        <v>45</v>
      </c>
      <c r="E45">
        <v>488</v>
      </c>
      <c r="F45" t="s">
        <v>24</v>
      </c>
    </row>
    <row r="46" spans="1:23" x14ac:dyDescent="0.2">
      <c r="A46" t="s">
        <v>46</v>
      </c>
      <c r="E46">
        <v>520</v>
      </c>
      <c r="F46" t="s">
        <v>24</v>
      </c>
    </row>
    <row r="47" spans="1:23" x14ac:dyDescent="0.2">
      <c r="A47" t="s">
        <v>47</v>
      </c>
      <c r="E47">
        <v>9</v>
      </c>
      <c r="F47" t="s">
        <v>24</v>
      </c>
    </row>
    <row r="48" spans="1:23" x14ac:dyDescent="0.2">
      <c r="A48" t="s">
        <v>48</v>
      </c>
      <c r="E48">
        <v>20</v>
      </c>
      <c r="F48" t="s">
        <v>24</v>
      </c>
    </row>
    <row r="49" spans="1:12" x14ac:dyDescent="0.2">
      <c r="A49" t="s">
        <v>49</v>
      </c>
      <c r="E49">
        <v>50</v>
      </c>
      <c r="F49" t="s">
        <v>50</v>
      </c>
    </row>
    <row r="50" spans="1:12" x14ac:dyDescent="0.2">
      <c r="A50" t="s">
        <v>26</v>
      </c>
      <c r="E50">
        <v>25</v>
      </c>
    </row>
    <row r="51" spans="1:12" x14ac:dyDescent="0.2">
      <c r="A51" t="s">
        <v>51</v>
      </c>
      <c r="E51">
        <v>20</v>
      </c>
      <c r="F51" t="s">
        <v>52</v>
      </c>
    </row>
    <row r="52" spans="1:12" x14ac:dyDescent="0.2">
      <c r="A52" t="s">
        <v>53</v>
      </c>
      <c r="E52">
        <v>0</v>
      </c>
      <c r="F52" t="s">
        <v>52</v>
      </c>
    </row>
    <row r="53" spans="1:12" x14ac:dyDescent="0.2">
      <c r="A53" t="s">
        <v>27</v>
      </c>
      <c r="E53">
        <v>0</v>
      </c>
      <c r="F53" t="s">
        <v>28</v>
      </c>
    </row>
    <row r="54" spans="1:12" x14ac:dyDescent="0.2">
      <c r="A54" t="s">
        <v>54</v>
      </c>
      <c r="E54">
        <v>20000</v>
      </c>
      <c r="F54" t="s">
        <v>55</v>
      </c>
    </row>
    <row r="55" spans="1:12" x14ac:dyDescent="0.2">
      <c r="A55" t="s">
        <v>29</v>
      </c>
      <c r="E55" t="s">
        <v>35</v>
      </c>
    </row>
    <row r="56" spans="1:12" x14ac:dyDescent="0.2">
      <c r="A56" t="s">
        <v>30</v>
      </c>
      <c r="B56" s="2" t="s">
        <v>56</v>
      </c>
    </row>
    <row r="58" spans="1:12" x14ac:dyDescent="0.2">
      <c r="B58" t="s">
        <v>37</v>
      </c>
    </row>
    <row r="59" spans="1:12" x14ac:dyDescent="0.2">
      <c r="A59" s="4" t="s">
        <v>31</v>
      </c>
      <c r="B59" s="4">
        <v>2</v>
      </c>
      <c r="C59" s="4">
        <v>3</v>
      </c>
      <c r="D59" s="4">
        <v>4</v>
      </c>
      <c r="E59" s="4">
        <v>5</v>
      </c>
      <c r="F59" s="4">
        <v>6</v>
      </c>
      <c r="G59" s="4">
        <v>7</v>
      </c>
      <c r="H59" s="4">
        <v>8</v>
      </c>
      <c r="I59" s="4">
        <v>9</v>
      </c>
      <c r="J59" s="4">
        <v>10</v>
      </c>
      <c r="K59" s="4">
        <v>11</v>
      </c>
      <c r="L59" s="4">
        <v>12</v>
      </c>
    </row>
    <row r="60" spans="1:12" x14ac:dyDescent="0.2">
      <c r="A60" s="4" t="s">
        <v>32</v>
      </c>
      <c r="B60">
        <v>79</v>
      </c>
      <c r="C60">
        <v>372</v>
      </c>
      <c r="D60">
        <v>399</v>
      </c>
      <c r="E60">
        <v>723</v>
      </c>
      <c r="F60">
        <v>89</v>
      </c>
      <c r="G60">
        <v>83</v>
      </c>
      <c r="H60">
        <v>413</v>
      </c>
      <c r="I60">
        <v>524</v>
      </c>
      <c r="J60">
        <v>370</v>
      </c>
      <c r="K60">
        <v>98</v>
      </c>
      <c r="L60">
        <v>51</v>
      </c>
    </row>
    <row r="61" spans="1:12" x14ac:dyDescent="0.2">
      <c r="A61" s="4" t="s">
        <v>38</v>
      </c>
      <c r="B61">
        <v>74</v>
      </c>
      <c r="C61">
        <v>349</v>
      </c>
      <c r="D61">
        <v>465</v>
      </c>
      <c r="E61">
        <v>612</v>
      </c>
      <c r="F61">
        <v>101</v>
      </c>
      <c r="G61">
        <v>82</v>
      </c>
      <c r="H61">
        <v>271</v>
      </c>
      <c r="I61">
        <v>480</v>
      </c>
      <c r="J61">
        <v>353</v>
      </c>
      <c r="K61">
        <v>94</v>
      </c>
      <c r="L61">
        <v>53</v>
      </c>
    </row>
    <row r="62" spans="1:12" x14ac:dyDescent="0.2">
      <c r="A62" s="4" t="s">
        <v>39</v>
      </c>
      <c r="B62">
        <v>78</v>
      </c>
      <c r="C62">
        <v>344</v>
      </c>
      <c r="D62">
        <v>499</v>
      </c>
      <c r="E62">
        <v>722</v>
      </c>
      <c r="F62">
        <v>97</v>
      </c>
      <c r="G62">
        <v>79</v>
      </c>
      <c r="H62">
        <v>395</v>
      </c>
      <c r="I62">
        <v>501</v>
      </c>
      <c r="J62">
        <v>388</v>
      </c>
      <c r="K62">
        <v>96</v>
      </c>
      <c r="L62">
        <v>51</v>
      </c>
    </row>
    <row r="63" spans="1:12" x14ac:dyDescent="0.2">
      <c r="A63" s="4" t="s">
        <v>40</v>
      </c>
      <c r="B63">
        <v>80</v>
      </c>
      <c r="C63">
        <v>377</v>
      </c>
      <c r="D63">
        <v>493</v>
      </c>
      <c r="E63">
        <v>542</v>
      </c>
      <c r="F63">
        <v>101</v>
      </c>
      <c r="G63">
        <v>66</v>
      </c>
      <c r="H63">
        <v>431</v>
      </c>
      <c r="I63">
        <v>380</v>
      </c>
      <c r="J63">
        <v>417</v>
      </c>
      <c r="K63">
        <v>81</v>
      </c>
      <c r="L63">
        <v>7</v>
      </c>
    </row>
    <row r="64" spans="1:12" x14ac:dyDescent="0.2">
      <c r="A64" s="4" t="s">
        <v>41</v>
      </c>
      <c r="B64">
        <v>79</v>
      </c>
      <c r="C64">
        <v>358</v>
      </c>
      <c r="D64">
        <v>485</v>
      </c>
      <c r="E64">
        <v>709</v>
      </c>
      <c r="F64">
        <v>88</v>
      </c>
      <c r="G64">
        <v>79</v>
      </c>
      <c r="H64">
        <v>408</v>
      </c>
      <c r="I64">
        <v>526</v>
      </c>
      <c r="J64">
        <v>388</v>
      </c>
      <c r="K64">
        <v>101</v>
      </c>
      <c r="L64">
        <v>7</v>
      </c>
    </row>
    <row r="68" spans="1:23" x14ac:dyDescent="0.2">
      <c r="N68" s="14" t="s">
        <v>65</v>
      </c>
      <c r="O68" s="14"/>
      <c r="P68" s="14"/>
      <c r="Q68" s="14"/>
      <c r="R68" s="14"/>
      <c r="S68" s="14" t="s">
        <v>66</v>
      </c>
      <c r="T68" s="14"/>
      <c r="U68" s="14"/>
      <c r="V68" s="14"/>
      <c r="W68" s="14"/>
    </row>
    <row r="69" spans="1:23" ht="16" thickBot="1" x14ac:dyDescent="0.25">
      <c r="A69" t="s">
        <v>33</v>
      </c>
      <c r="B69" s="2" t="s">
        <v>57</v>
      </c>
      <c r="N69" t="s">
        <v>67</v>
      </c>
      <c r="O69" t="s">
        <v>68</v>
      </c>
      <c r="P69" t="s">
        <v>69</v>
      </c>
      <c r="Q69" t="s">
        <v>70</v>
      </c>
      <c r="R69" t="s">
        <v>71</v>
      </c>
      <c r="S69" t="s">
        <v>67</v>
      </c>
      <c r="T69" t="s">
        <v>68</v>
      </c>
      <c r="U69" t="s">
        <v>69</v>
      </c>
      <c r="V69" t="s">
        <v>70</v>
      </c>
      <c r="W69" t="s">
        <v>71</v>
      </c>
    </row>
    <row r="70" spans="1:23" x14ac:dyDescent="0.2">
      <c r="N70" s="6">
        <f>N91/N29</f>
        <v>772.48676752582435</v>
      </c>
      <c r="O70" s="7">
        <f t="shared" ref="O70:W70" si="1">O91/O29</f>
        <v>8827.2676748422164</v>
      </c>
      <c r="P70" s="7">
        <f t="shared" si="1"/>
        <v>12111.597143899206</v>
      </c>
      <c r="Q70" s="7">
        <f t="shared" si="1"/>
        <v>23684.537523820847</v>
      </c>
      <c r="R70" s="11">
        <f t="shared" si="1"/>
        <v>1111.5763046725083</v>
      </c>
      <c r="S70" s="6">
        <f t="shared" si="1"/>
        <v>814.97585522510042</v>
      </c>
      <c r="T70" s="7">
        <f t="shared" si="1"/>
        <v>9637.47069155594</v>
      </c>
      <c r="U70" s="7">
        <f t="shared" si="1"/>
        <v>14878.021274121469</v>
      </c>
      <c r="V70" s="7">
        <f t="shared" si="1"/>
        <v>10403.819606516765</v>
      </c>
      <c r="W70" s="11">
        <f t="shared" si="1"/>
        <v>1317.2747090631644</v>
      </c>
    </row>
    <row r="71" spans="1:23" x14ac:dyDescent="0.2">
      <c r="N71" s="8">
        <f t="shared" ref="N71:W74" si="2">N92/N30</f>
        <v>624.42133781756922</v>
      </c>
      <c r="O71">
        <f t="shared" si="2"/>
        <v>8610.5758659598414</v>
      </c>
      <c r="P71">
        <f t="shared" si="2"/>
        <v>12516.810381754687</v>
      </c>
      <c r="Q71">
        <f t="shared" si="2"/>
        <v>20364.617388096282</v>
      </c>
      <c r="R71" s="12">
        <f t="shared" si="2"/>
        <v>1269.5652406643358</v>
      </c>
      <c r="S71" s="8">
        <f t="shared" si="2"/>
        <v>816.06221706609017</v>
      </c>
      <c r="T71">
        <f t="shared" si="2"/>
        <v>7975.4142178722095</v>
      </c>
      <c r="U71">
        <f t="shared" si="2"/>
        <v>15389.463105476958</v>
      </c>
      <c r="V71">
        <f t="shared" si="2"/>
        <v>11612.7294595859</v>
      </c>
      <c r="W71" s="12">
        <f t="shared" si="2"/>
        <v>1309.2430182620565</v>
      </c>
    </row>
    <row r="72" spans="1:23" x14ac:dyDescent="0.2">
      <c r="N72" s="8">
        <f t="shared" si="2"/>
        <v>718.1399051721753</v>
      </c>
      <c r="O72">
        <f t="shared" si="2"/>
        <v>8619.6827709874087</v>
      </c>
      <c r="P72">
        <f t="shared" si="2"/>
        <v>12859.172035617115</v>
      </c>
      <c r="Q72">
        <f t="shared" si="2"/>
        <v>21896.828537891146</v>
      </c>
      <c r="R72" s="12">
        <f t="shared" si="2"/>
        <v>1249.7549222052064</v>
      </c>
      <c r="S72" s="8">
        <f t="shared" si="2"/>
        <v>706.28217010269464</v>
      </c>
      <c r="T72">
        <f t="shared" si="2"/>
        <v>9502.2496880854833</v>
      </c>
      <c r="U72">
        <f t="shared" si="2"/>
        <v>15272.508767554033</v>
      </c>
      <c r="V72">
        <f t="shared" si="2"/>
        <v>11593.500020856278</v>
      </c>
      <c r="W72" s="12">
        <f t="shared" si="2"/>
        <v>1328.3976383518493</v>
      </c>
    </row>
    <row r="73" spans="1:23" x14ac:dyDescent="0.2">
      <c r="N73" s="8">
        <f t="shared" si="2"/>
        <v>771.73406280275026</v>
      </c>
      <c r="O73">
        <f t="shared" si="2"/>
        <v>8790.6838857050407</v>
      </c>
      <c r="P73">
        <f t="shared" si="2"/>
        <v>12721.467022375891</v>
      </c>
      <c r="Q73">
        <f t="shared" si="2"/>
        <v>20020.138809304568</v>
      </c>
      <c r="R73" s="12">
        <f t="shared" si="2"/>
        <v>1260.4355640523454</v>
      </c>
      <c r="S73" s="8">
        <f t="shared" si="2"/>
        <v>483.35504867772971</v>
      </c>
      <c r="T73">
        <f t="shared" si="2"/>
        <v>9743.7759519769606</v>
      </c>
      <c r="U73">
        <f t="shared" si="2"/>
        <v>12990.952892281326</v>
      </c>
      <c r="V73">
        <f t="shared" si="2"/>
        <v>11936.849625071951</v>
      </c>
      <c r="W73" s="12">
        <f t="shared" si="2"/>
        <v>1143.9363351362808</v>
      </c>
    </row>
    <row r="74" spans="1:23" ht="16" thickBot="1" x14ac:dyDescent="0.25">
      <c r="A74" t="s">
        <v>58</v>
      </c>
      <c r="N74" s="9">
        <f t="shared" si="2"/>
        <v>756.00359001141089</v>
      </c>
      <c r="O74" s="10">
        <f t="shared" si="2"/>
        <v>8869.8492689883842</v>
      </c>
      <c r="P74" s="10">
        <f t="shared" si="2"/>
        <v>13137.108431421151</v>
      </c>
      <c r="Q74" s="10">
        <f t="shared" si="2"/>
        <v>20860.986229494385</v>
      </c>
      <c r="R74" s="13">
        <f t="shared" si="2"/>
        <v>1137.9908553705618</v>
      </c>
      <c r="S74" s="9">
        <f t="shared" si="2"/>
        <v>742.4272184403668</v>
      </c>
      <c r="T74" s="10">
        <f t="shared" si="2"/>
        <v>9745.9183459879387</v>
      </c>
      <c r="U74" s="10">
        <f t="shared" si="2"/>
        <v>14882.229628034771</v>
      </c>
      <c r="V74" s="10">
        <f t="shared" si="2"/>
        <v>11090.761638550182</v>
      </c>
      <c r="W74" s="13">
        <f t="shared" si="2"/>
        <v>1365.9160838361786</v>
      </c>
    </row>
    <row r="75" spans="1:23" x14ac:dyDescent="0.2">
      <c r="A75" t="s">
        <v>21</v>
      </c>
      <c r="E75" t="s">
        <v>44</v>
      </c>
    </row>
    <row r="76" spans="1:23" x14ac:dyDescent="0.2">
      <c r="A76" t="s">
        <v>45</v>
      </c>
      <c r="E76">
        <v>488</v>
      </c>
      <c r="F76" t="s">
        <v>24</v>
      </c>
      <c r="N76">
        <f t="shared" ref="N76:W76" si="3">AVERAGE(N70:N74)</f>
        <v>728.55713266594591</v>
      </c>
      <c r="O76">
        <f t="shared" si="3"/>
        <v>8743.6118932965801</v>
      </c>
      <c r="P76">
        <f t="shared" si="3"/>
        <v>12669.231003013609</v>
      </c>
      <c r="Q76">
        <f t="shared" si="3"/>
        <v>21365.421697721446</v>
      </c>
      <c r="R76">
        <f t="shared" si="3"/>
        <v>1205.8645773929916</v>
      </c>
      <c r="S76">
        <f t="shared" si="3"/>
        <v>712.62050190239631</v>
      </c>
      <c r="T76">
        <f t="shared" si="3"/>
        <v>9320.9657790957081</v>
      </c>
      <c r="U76">
        <f t="shared" si="3"/>
        <v>14682.635133493712</v>
      </c>
      <c r="V76">
        <f t="shared" si="3"/>
        <v>11327.532070116215</v>
      </c>
      <c r="W76">
        <f t="shared" si="3"/>
        <v>1292.953556929906</v>
      </c>
    </row>
    <row r="77" spans="1:23" x14ac:dyDescent="0.2">
      <c r="A77" t="s">
        <v>46</v>
      </c>
      <c r="E77">
        <v>520</v>
      </c>
      <c r="F77" t="s">
        <v>24</v>
      </c>
    </row>
    <row r="78" spans="1:23" x14ac:dyDescent="0.2">
      <c r="A78" t="s">
        <v>47</v>
      </c>
      <c r="E78">
        <v>9</v>
      </c>
      <c r="F78" t="s">
        <v>24</v>
      </c>
      <c r="N78">
        <f>N76/974</f>
        <v>0.74800526967756253</v>
      </c>
      <c r="O78">
        <f>O76/10336</f>
        <v>0.84593768317497875</v>
      </c>
      <c r="P78">
        <f>P76/16798</f>
        <v>0.75421068002224123</v>
      </c>
      <c r="Q78">
        <f>Q76/40900</f>
        <v>0.52238194859954634</v>
      </c>
      <c r="R78">
        <f>R76/1809</f>
        <v>0.66659180618739167</v>
      </c>
      <c r="S78">
        <f>S76/895</f>
        <v>0.79622402447195118</v>
      </c>
      <c r="T78">
        <f>T76/10832</f>
        <v>0.86050274917796421</v>
      </c>
      <c r="U78">
        <f>U76/17626</f>
        <v>0.83301004955711511</v>
      </c>
      <c r="V78">
        <f>V76/52231</f>
        <v>0.21687373533181856</v>
      </c>
      <c r="W78">
        <f>W76/1938</f>
        <v>0.66715869810624662</v>
      </c>
    </row>
    <row r="79" spans="1:23" x14ac:dyDescent="0.2">
      <c r="A79" t="s">
        <v>48</v>
      </c>
      <c r="E79">
        <v>20</v>
      </c>
      <c r="F79" t="s">
        <v>24</v>
      </c>
    </row>
    <row r="80" spans="1:23" x14ac:dyDescent="0.2">
      <c r="A80" t="s">
        <v>49</v>
      </c>
      <c r="E80">
        <v>80</v>
      </c>
      <c r="F80" t="s">
        <v>50</v>
      </c>
    </row>
    <row r="81" spans="1:23" x14ac:dyDescent="0.2">
      <c r="A81" t="s">
        <v>26</v>
      </c>
      <c r="E81">
        <v>25</v>
      </c>
    </row>
    <row r="82" spans="1:23" x14ac:dyDescent="0.2">
      <c r="A82" t="s">
        <v>51</v>
      </c>
      <c r="E82">
        <v>20</v>
      </c>
      <c r="F82" t="s">
        <v>52</v>
      </c>
    </row>
    <row r="83" spans="1:23" x14ac:dyDescent="0.2">
      <c r="A83" t="s">
        <v>53</v>
      </c>
      <c r="E83">
        <v>0</v>
      </c>
      <c r="F83" t="s">
        <v>52</v>
      </c>
    </row>
    <row r="84" spans="1:23" x14ac:dyDescent="0.2">
      <c r="A84" t="s">
        <v>27</v>
      </c>
      <c r="E84">
        <v>0</v>
      </c>
      <c r="F84" t="s">
        <v>28</v>
      </c>
    </row>
    <row r="85" spans="1:23" x14ac:dyDescent="0.2">
      <c r="A85" t="s">
        <v>54</v>
      </c>
      <c r="E85">
        <v>20000</v>
      </c>
      <c r="F85" t="s">
        <v>55</v>
      </c>
    </row>
    <row r="86" spans="1:23" x14ac:dyDescent="0.2">
      <c r="A86" t="s">
        <v>29</v>
      </c>
      <c r="E86" t="s">
        <v>35</v>
      </c>
    </row>
    <row r="87" spans="1:23" x14ac:dyDescent="0.2">
      <c r="A87" t="s">
        <v>30</v>
      </c>
      <c r="B87" s="2" t="s">
        <v>59</v>
      </c>
    </row>
    <row r="89" spans="1:23" x14ac:dyDescent="0.2">
      <c r="B89" t="s">
        <v>37</v>
      </c>
    </row>
    <row r="90" spans="1:23" x14ac:dyDescent="0.2">
      <c r="A90" s="4" t="s">
        <v>31</v>
      </c>
      <c r="B90" s="4">
        <v>2</v>
      </c>
      <c r="C90" s="4">
        <v>3</v>
      </c>
      <c r="D90" s="4">
        <v>4</v>
      </c>
      <c r="E90" s="4">
        <v>5</v>
      </c>
      <c r="F90" s="4">
        <v>6</v>
      </c>
      <c r="G90" s="4">
        <v>7</v>
      </c>
      <c r="H90" s="4">
        <v>8</v>
      </c>
      <c r="I90" s="4">
        <v>9</v>
      </c>
      <c r="J90" s="4">
        <v>10</v>
      </c>
      <c r="K90" s="4">
        <v>11</v>
      </c>
      <c r="L90" s="4">
        <v>12</v>
      </c>
    </row>
    <row r="91" spans="1:23" x14ac:dyDescent="0.2">
      <c r="A91" s="4" t="s">
        <v>32</v>
      </c>
      <c r="B91">
        <v>2268</v>
      </c>
      <c r="C91">
        <v>10633</v>
      </c>
      <c r="D91">
        <v>11428</v>
      </c>
      <c r="E91">
        <v>20505</v>
      </c>
      <c r="F91">
        <v>2527</v>
      </c>
      <c r="G91">
        <v>2327</v>
      </c>
      <c r="H91">
        <v>11753</v>
      </c>
      <c r="I91">
        <v>14821</v>
      </c>
      <c r="J91">
        <v>10508</v>
      </c>
      <c r="K91">
        <v>2772</v>
      </c>
      <c r="L91">
        <v>1461</v>
      </c>
      <c r="N91">
        <f t="shared" ref="N91:W95" si="4">B91-1465</f>
        <v>803</v>
      </c>
      <c r="O91">
        <f t="shared" si="4"/>
        <v>9168</v>
      </c>
      <c r="P91">
        <f t="shared" si="4"/>
        <v>9963</v>
      </c>
      <c r="Q91">
        <f t="shared" si="4"/>
        <v>19040</v>
      </c>
      <c r="R91">
        <f t="shared" si="4"/>
        <v>1062</v>
      </c>
      <c r="S91">
        <f t="shared" si="4"/>
        <v>862</v>
      </c>
      <c r="T91">
        <f t="shared" si="4"/>
        <v>10288</v>
      </c>
      <c r="U91">
        <f t="shared" si="4"/>
        <v>13356</v>
      </c>
      <c r="V91">
        <f t="shared" si="4"/>
        <v>9043</v>
      </c>
      <c r="W91">
        <f t="shared" si="4"/>
        <v>1307</v>
      </c>
    </row>
    <row r="92" spans="1:23" x14ac:dyDescent="0.2">
      <c r="A92" s="4" t="s">
        <v>38</v>
      </c>
      <c r="B92">
        <v>2072</v>
      </c>
      <c r="C92">
        <v>9949</v>
      </c>
      <c r="D92">
        <v>13192</v>
      </c>
      <c r="E92">
        <v>17327</v>
      </c>
      <c r="F92">
        <v>2852</v>
      </c>
      <c r="G92">
        <v>2347</v>
      </c>
      <c r="H92">
        <v>7823</v>
      </c>
      <c r="I92">
        <v>13675</v>
      </c>
      <c r="J92">
        <v>10077</v>
      </c>
      <c r="K92">
        <v>2686</v>
      </c>
      <c r="L92">
        <v>1477</v>
      </c>
      <c r="N92">
        <f t="shared" si="4"/>
        <v>607</v>
      </c>
      <c r="O92">
        <f t="shared" si="4"/>
        <v>8484</v>
      </c>
      <c r="P92">
        <f t="shared" si="4"/>
        <v>11727</v>
      </c>
      <c r="Q92">
        <f t="shared" si="4"/>
        <v>15862</v>
      </c>
      <c r="R92">
        <f t="shared" si="4"/>
        <v>1387</v>
      </c>
      <c r="S92">
        <f t="shared" si="4"/>
        <v>882</v>
      </c>
      <c r="T92">
        <f t="shared" si="4"/>
        <v>6358</v>
      </c>
      <c r="U92">
        <f t="shared" si="4"/>
        <v>12210</v>
      </c>
      <c r="V92">
        <f t="shared" si="4"/>
        <v>8612</v>
      </c>
      <c r="W92">
        <f t="shared" si="4"/>
        <v>1221</v>
      </c>
    </row>
    <row r="93" spans="1:23" x14ac:dyDescent="0.2">
      <c r="A93" s="4" t="s">
        <v>39</v>
      </c>
      <c r="B93">
        <v>2197</v>
      </c>
      <c r="C93">
        <v>9733</v>
      </c>
      <c r="D93">
        <v>14139</v>
      </c>
      <c r="E93">
        <v>20524</v>
      </c>
      <c r="F93">
        <v>2740</v>
      </c>
      <c r="G93">
        <v>2234</v>
      </c>
      <c r="H93">
        <v>11182</v>
      </c>
      <c r="I93">
        <v>14187</v>
      </c>
      <c r="J93">
        <v>11025</v>
      </c>
      <c r="K93">
        <v>2721</v>
      </c>
      <c r="L93">
        <v>1456</v>
      </c>
      <c r="N93">
        <f t="shared" si="4"/>
        <v>732</v>
      </c>
      <c r="O93">
        <f t="shared" si="4"/>
        <v>8268</v>
      </c>
      <c r="P93">
        <f t="shared" si="4"/>
        <v>12674</v>
      </c>
      <c r="Q93">
        <f t="shared" si="4"/>
        <v>19059</v>
      </c>
      <c r="R93">
        <f t="shared" si="4"/>
        <v>1275</v>
      </c>
      <c r="S93">
        <f t="shared" si="4"/>
        <v>769</v>
      </c>
      <c r="T93">
        <f t="shared" si="4"/>
        <v>9717</v>
      </c>
      <c r="U93">
        <f t="shared" si="4"/>
        <v>12722</v>
      </c>
      <c r="V93">
        <f t="shared" si="4"/>
        <v>9560</v>
      </c>
      <c r="W93">
        <f t="shared" si="4"/>
        <v>1256</v>
      </c>
    </row>
    <row r="94" spans="1:23" x14ac:dyDescent="0.2">
      <c r="A94" s="4" t="s">
        <v>40</v>
      </c>
      <c r="B94">
        <v>2295</v>
      </c>
      <c r="C94">
        <v>10675</v>
      </c>
      <c r="D94">
        <v>14016</v>
      </c>
      <c r="E94">
        <v>15383</v>
      </c>
      <c r="F94">
        <v>2854</v>
      </c>
      <c r="G94">
        <v>1873</v>
      </c>
      <c r="H94">
        <v>12227</v>
      </c>
      <c r="I94">
        <v>10799</v>
      </c>
      <c r="J94">
        <v>11899</v>
      </c>
      <c r="K94">
        <v>2313</v>
      </c>
      <c r="L94">
        <v>170</v>
      </c>
      <c r="N94">
        <f t="shared" si="4"/>
        <v>830</v>
      </c>
      <c r="O94">
        <f t="shared" si="4"/>
        <v>9210</v>
      </c>
      <c r="P94">
        <f t="shared" si="4"/>
        <v>12551</v>
      </c>
      <c r="Q94">
        <f t="shared" si="4"/>
        <v>13918</v>
      </c>
      <c r="R94">
        <f t="shared" si="4"/>
        <v>1389</v>
      </c>
      <c r="S94">
        <f t="shared" si="4"/>
        <v>408</v>
      </c>
      <c r="T94">
        <f t="shared" si="4"/>
        <v>10762</v>
      </c>
      <c r="U94">
        <f t="shared" si="4"/>
        <v>9334</v>
      </c>
      <c r="V94">
        <f t="shared" si="4"/>
        <v>10434</v>
      </c>
      <c r="W94">
        <f t="shared" si="4"/>
        <v>848</v>
      </c>
    </row>
    <row r="95" spans="1:23" x14ac:dyDescent="0.2">
      <c r="A95" s="4" t="s">
        <v>41</v>
      </c>
      <c r="B95">
        <v>2230</v>
      </c>
      <c r="C95">
        <v>10161</v>
      </c>
      <c r="D95">
        <v>13806</v>
      </c>
      <c r="E95">
        <v>20388</v>
      </c>
      <c r="F95">
        <v>2514</v>
      </c>
      <c r="G95">
        <v>2215</v>
      </c>
      <c r="H95">
        <v>11553</v>
      </c>
      <c r="I95">
        <v>14923</v>
      </c>
      <c r="J95">
        <v>11033</v>
      </c>
      <c r="K95">
        <v>2854</v>
      </c>
      <c r="L95">
        <v>172</v>
      </c>
      <c r="N95">
        <f t="shared" si="4"/>
        <v>765</v>
      </c>
      <c r="O95">
        <f t="shared" si="4"/>
        <v>8696</v>
      </c>
      <c r="P95">
        <f t="shared" si="4"/>
        <v>12341</v>
      </c>
      <c r="Q95">
        <f t="shared" si="4"/>
        <v>18923</v>
      </c>
      <c r="R95">
        <f t="shared" si="4"/>
        <v>1049</v>
      </c>
      <c r="S95">
        <f t="shared" si="4"/>
        <v>750</v>
      </c>
      <c r="T95">
        <f t="shared" si="4"/>
        <v>10088</v>
      </c>
      <c r="U95">
        <f t="shared" si="4"/>
        <v>13458</v>
      </c>
      <c r="V95">
        <f t="shared" si="4"/>
        <v>9568</v>
      </c>
      <c r="W95">
        <f t="shared" si="4"/>
        <v>1389</v>
      </c>
    </row>
    <row r="97" spans="1:12" x14ac:dyDescent="0.2">
      <c r="L97">
        <f>AVERAGE(L91:L93)</f>
        <v>1464.6666666666667</v>
      </c>
    </row>
    <row r="100" spans="1:12" x14ac:dyDescent="0.2">
      <c r="A100" t="s">
        <v>33</v>
      </c>
      <c r="B100" s="2" t="s">
        <v>60</v>
      </c>
    </row>
    <row r="105" spans="1:12" x14ac:dyDescent="0.2">
      <c r="A105" t="s">
        <v>61</v>
      </c>
    </row>
    <row r="106" spans="1:12" x14ac:dyDescent="0.2">
      <c r="A106" t="s">
        <v>21</v>
      </c>
      <c r="E106" t="s">
        <v>44</v>
      </c>
    </row>
    <row r="107" spans="1:12" x14ac:dyDescent="0.2">
      <c r="A107" t="s">
        <v>45</v>
      </c>
      <c r="E107">
        <v>488</v>
      </c>
      <c r="F107" t="s">
        <v>24</v>
      </c>
    </row>
    <row r="108" spans="1:12" x14ac:dyDescent="0.2">
      <c r="A108" t="s">
        <v>46</v>
      </c>
      <c r="E108">
        <v>520</v>
      </c>
      <c r="F108" t="s">
        <v>24</v>
      </c>
    </row>
    <row r="109" spans="1:12" x14ac:dyDescent="0.2">
      <c r="A109" t="s">
        <v>47</v>
      </c>
      <c r="E109">
        <v>9</v>
      </c>
      <c r="F109" t="s">
        <v>24</v>
      </c>
    </row>
    <row r="110" spans="1:12" x14ac:dyDescent="0.2">
      <c r="A110" t="s">
        <v>48</v>
      </c>
      <c r="E110">
        <v>20</v>
      </c>
      <c r="F110" t="s">
        <v>24</v>
      </c>
    </row>
    <row r="111" spans="1:12" x14ac:dyDescent="0.2">
      <c r="A111" t="s">
        <v>49</v>
      </c>
      <c r="E111">
        <v>100</v>
      </c>
      <c r="F111" t="s">
        <v>50</v>
      </c>
    </row>
    <row r="112" spans="1:12" x14ac:dyDescent="0.2">
      <c r="A112" t="s">
        <v>26</v>
      </c>
      <c r="E112">
        <v>25</v>
      </c>
    </row>
    <row r="113" spans="1:12" x14ac:dyDescent="0.2">
      <c r="A113" t="s">
        <v>51</v>
      </c>
      <c r="E113">
        <v>20</v>
      </c>
      <c r="F113" t="s">
        <v>52</v>
      </c>
    </row>
    <row r="114" spans="1:12" x14ac:dyDescent="0.2">
      <c r="A114" t="s">
        <v>53</v>
      </c>
      <c r="E114">
        <v>0</v>
      </c>
      <c r="F114" t="s">
        <v>52</v>
      </c>
    </row>
    <row r="115" spans="1:12" x14ac:dyDescent="0.2">
      <c r="A115" t="s">
        <v>27</v>
      </c>
      <c r="E115">
        <v>0</v>
      </c>
      <c r="F115" t="s">
        <v>28</v>
      </c>
    </row>
    <row r="116" spans="1:12" x14ac:dyDescent="0.2">
      <c r="A116" t="s">
        <v>54</v>
      </c>
      <c r="E116">
        <v>20000</v>
      </c>
      <c r="F116" t="s">
        <v>55</v>
      </c>
    </row>
    <row r="117" spans="1:12" x14ac:dyDescent="0.2">
      <c r="A117" t="s">
        <v>29</v>
      </c>
      <c r="E117" t="s">
        <v>35</v>
      </c>
    </row>
    <row r="118" spans="1:12" x14ac:dyDescent="0.2">
      <c r="A118" t="s">
        <v>30</v>
      </c>
      <c r="B118" s="2" t="s">
        <v>62</v>
      </c>
    </row>
    <row r="120" spans="1:12" x14ac:dyDescent="0.2">
      <c r="B120" t="s">
        <v>37</v>
      </c>
    </row>
    <row r="121" spans="1:12" x14ac:dyDescent="0.2">
      <c r="A121" s="4" t="s">
        <v>31</v>
      </c>
      <c r="B121" s="4">
        <v>2</v>
      </c>
      <c r="C121" s="4">
        <v>3</v>
      </c>
      <c r="D121" s="4">
        <v>4</v>
      </c>
      <c r="E121" s="4">
        <v>5</v>
      </c>
      <c r="F121" s="4">
        <v>6</v>
      </c>
      <c r="G121" s="4">
        <v>7</v>
      </c>
      <c r="H121" s="4">
        <v>8</v>
      </c>
      <c r="I121" s="4">
        <v>9</v>
      </c>
      <c r="J121" s="4">
        <v>10</v>
      </c>
      <c r="K121" s="4">
        <v>11</v>
      </c>
      <c r="L121" s="4">
        <v>12</v>
      </c>
    </row>
    <row r="122" spans="1:12" x14ac:dyDescent="0.2">
      <c r="A122" s="4" t="s">
        <v>32</v>
      </c>
      <c r="B122">
        <v>10889</v>
      </c>
      <c r="C122">
        <v>50479</v>
      </c>
      <c r="D122">
        <v>54311</v>
      </c>
      <c r="E122" s="5" t="s">
        <v>63</v>
      </c>
      <c r="F122">
        <v>12196</v>
      </c>
      <c r="G122">
        <v>11166</v>
      </c>
      <c r="H122">
        <v>55779</v>
      </c>
      <c r="I122" s="5" t="s">
        <v>63</v>
      </c>
      <c r="J122">
        <v>50089</v>
      </c>
      <c r="K122">
        <v>13333</v>
      </c>
      <c r="L122">
        <v>7019</v>
      </c>
    </row>
    <row r="123" spans="1:12" x14ac:dyDescent="0.2">
      <c r="A123" s="4" t="s">
        <v>38</v>
      </c>
      <c r="B123">
        <v>9895</v>
      </c>
      <c r="C123">
        <v>47322</v>
      </c>
      <c r="D123">
        <v>62655</v>
      </c>
      <c r="E123" s="5" t="s">
        <v>63</v>
      </c>
      <c r="F123">
        <v>13661</v>
      </c>
      <c r="G123">
        <v>11201</v>
      </c>
      <c r="H123">
        <v>37228</v>
      </c>
      <c r="I123" s="5" t="s">
        <v>63</v>
      </c>
      <c r="J123">
        <v>47763</v>
      </c>
      <c r="K123">
        <v>12946</v>
      </c>
      <c r="L123">
        <v>7068</v>
      </c>
    </row>
    <row r="124" spans="1:12" x14ac:dyDescent="0.2">
      <c r="A124" s="4" t="s">
        <v>39</v>
      </c>
      <c r="B124">
        <v>10606</v>
      </c>
      <c r="C124">
        <v>46462</v>
      </c>
      <c r="D124" s="5" t="s">
        <v>63</v>
      </c>
      <c r="E124" s="5" t="s">
        <v>63</v>
      </c>
      <c r="F124">
        <v>13217</v>
      </c>
      <c r="G124">
        <v>10807</v>
      </c>
      <c r="H124">
        <v>53212</v>
      </c>
      <c r="I124" s="5" t="s">
        <v>63</v>
      </c>
      <c r="J124">
        <v>52637</v>
      </c>
      <c r="K124">
        <v>13020</v>
      </c>
      <c r="L124">
        <v>7049</v>
      </c>
    </row>
    <row r="125" spans="1:12" x14ac:dyDescent="0.2">
      <c r="A125" s="4" t="s">
        <v>40</v>
      </c>
      <c r="B125">
        <v>11056</v>
      </c>
      <c r="C125">
        <v>51075</v>
      </c>
      <c r="D125" s="5" t="s">
        <v>63</v>
      </c>
      <c r="E125" s="5" t="s">
        <v>63</v>
      </c>
      <c r="F125">
        <v>13757</v>
      </c>
      <c r="G125">
        <v>9109</v>
      </c>
      <c r="H125">
        <v>58011</v>
      </c>
      <c r="I125">
        <v>51639</v>
      </c>
      <c r="J125">
        <v>56811</v>
      </c>
      <c r="K125">
        <v>11172</v>
      </c>
      <c r="L125">
        <v>812</v>
      </c>
    </row>
    <row r="126" spans="1:12" x14ac:dyDescent="0.2">
      <c r="A126" s="4" t="s">
        <v>41</v>
      </c>
      <c r="B126">
        <v>10697</v>
      </c>
      <c r="C126">
        <v>48485</v>
      </c>
      <c r="D126" s="5" t="s">
        <v>63</v>
      </c>
      <c r="E126" s="5" t="s">
        <v>63</v>
      </c>
      <c r="F126">
        <v>12117</v>
      </c>
      <c r="G126">
        <v>10632</v>
      </c>
      <c r="H126">
        <v>54897</v>
      </c>
      <c r="I126" s="5" t="s">
        <v>63</v>
      </c>
      <c r="J126">
        <v>52576</v>
      </c>
      <c r="K126">
        <v>13789</v>
      </c>
      <c r="L126">
        <v>824</v>
      </c>
    </row>
    <row r="131" spans="1:2" x14ac:dyDescent="0.2">
      <c r="A131" t="s">
        <v>33</v>
      </c>
      <c r="B131" s="2" t="s">
        <v>64</v>
      </c>
    </row>
  </sheetData>
  <mergeCells count="2">
    <mergeCell ref="N68:R68"/>
    <mergeCell ref="S68:W68"/>
  </mergeCells>
  <conditionalFormatting sqref="N76:Q76">
    <cfRule type="colorScale" priority="5">
      <colorScale>
        <cfvo type="min"/>
        <cfvo type="max"/>
        <color rgb="FFFCFCFF"/>
        <color rgb="FF63BE7B"/>
      </colorScale>
    </cfRule>
  </conditionalFormatting>
  <conditionalFormatting sqref="N70:R74">
    <cfRule type="colorScale" priority="9">
      <colorScale>
        <cfvo type="min"/>
        <cfvo type="max"/>
        <color rgb="FFFCFCFF"/>
        <color rgb="FF63BE7B"/>
      </colorScale>
    </cfRule>
  </conditionalFormatting>
  <conditionalFormatting sqref="R76">
    <cfRule type="colorScale" priority="3">
      <colorScale>
        <cfvo type="min"/>
        <cfvo type="max"/>
        <color rgb="FFFCFCFF"/>
        <color rgb="FF63BE7B"/>
      </colorScale>
    </cfRule>
  </conditionalFormatting>
  <conditionalFormatting sqref="S76">
    <cfRule type="colorScale" priority="4">
      <colorScale>
        <cfvo type="min"/>
        <cfvo type="max"/>
        <color rgb="FFFCFCFF"/>
        <color rgb="FF63BE7B"/>
      </colorScale>
    </cfRule>
  </conditionalFormatting>
  <conditionalFormatting sqref="S70:W74">
    <cfRule type="colorScale" priority="8">
      <colorScale>
        <cfvo type="min"/>
        <cfvo type="max"/>
        <color rgb="FFFCFCFF"/>
        <color rgb="FF63BE7B"/>
      </colorScale>
    </cfRule>
  </conditionalFormatting>
  <conditionalFormatting sqref="T76:V76">
    <cfRule type="colorScale" priority="1">
      <colorScale>
        <cfvo type="min"/>
        <cfvo type="max"/>
        <color rgb="FFFCFCFF"/>
        <color rgb="FF63BE7B"/>
      </colorScale>
    </cfRule>
  </conditionalFormatting>
  <conditionalFormatting sqref="W76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</dc:creator>
  <cp:lastModifiedBy>Yuanchi Ha</cp:lastModifiedBy>
  <dcterms:created xsi:type="dcterms:W3CDTF">2025-09-12T18:46:37Z</dcterms:created>
  <dcterms:modified xsi:type="dcterms:W3CDTF">2025-10-25T01:14:28Z</dcterms:modified>
</cp:coreProperties>
</file>