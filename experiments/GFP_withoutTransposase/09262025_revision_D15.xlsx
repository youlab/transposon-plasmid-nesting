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8"/>
  <workbookPr/>
  <mc:AlternateContent xmlns:mc="http://schemas.openxmlformats.org/markup-compatibility/2006">
    <mc:Choice Requires="x15">
      <x15ac:absPath xmlns:x15ac="http://schemas.microsoft.com/office/spreadsheetml/2010/11/ac" url="/Users/ychha/Desktop/Systems Biology/Mine/Plasmid-Transposon/Exp/tetA/Revision/"/>
    </mc:Choice>
  </mc:AlternateContent>
  <xr:revisionPtr revIDLastSave="0" documentId="13_ncr:1_{51507E8B-ED2A-2945-B3EE-00899477FF96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et10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5" i="2" l="1"/>
  <c r="V95" i="2"/>
  <c r="U95" i="2"/>
  <c r="U74" i="2" s="1"/>
  <c r="T95" i="2"/>
  <c r="T74" i="2" s="1"/>
  <c r="S95" i="2"/>
  <c r="R95" i="2"/>
  <c r="Q95" i="2"/>
  <c r="Q74" i="2" s="1"/>
  <c r="P95" i="2"/>
  <c r="O95" i="2"/>
  <c r="W94" i="2"/>
  <c r="W73" i="2" s="1"/>
  <c r="V94" i="2"/>
  <c r="V73" i="2" s="1"/>
  <c r="U94" i="2"/>
  <c r="U73" i="2" s="1"/>
  <c r="T94" i="2"/>
  <c r="S94" i="2"/>
  <c r="R94" i="2"/>
  <c r="Q94" i="2"/>
  <c r="P94" i="2"/>
  <c r="O94" i="2"/>
  <c r="W93" i="2"/>
  <c r="V93" i="2"/>
  <c r="U93" i="2"/>
  <c r="T93" i="2"/>
  <c r="S93" i="2"/>
  <c r="R93" i="2"/>
  <c r="Q93" i="2"/>
  <c r="P93" i="2"/>
  <c r="O93" i="2"/>
  <c r="W92" i="2"/>
  <c r="V92" i="2"/>
  <c r="U92" i="2"/>
  <c r="T92" i="2"/>
  <c r="S92" i="2"/>
  <c r="R92" i="2"/>
  <c r="Q92" i="2"/>
  <c r="P92" i="2"/>
  <c r="O92" i="2"/>
  <c r="W91" i="2"/>
  <c r="W70" i="2" s="1"/>
  <c r="V91" i="2"/>
  <c r="V70" i="2" s="1"/>
  <c r="U91" i="2"/>
  <c r="T91" i="2"/>
  <c r="T70" i="2" s="1"/>
  <c r="S91" i="2"/>
  <c r="S70" i="2" s="1"/>
  <c r="R91" i="2"/>
  <c r="R70" i="2" s="1"/>
  <c r="Q91" i="2"/>
  <c r="P91" i="2"/>
  <c r="O91" i="2"/>
  <c r="N95" i="2"/>
  <c r="N94" i="2"/>
  <c r="N93" i="2"/>
  <c r="N72" i="2" s="1"/>
  <c r="N92" i="2"/>
  <c r="N91" i="2"/>
  <c r="L97" i="2"/>
  <c r="W33" i="2"/>
  <c r="V33" i="2"/>
  <c r="U33" i="2"/>
  <c r="T33" i="2"/>
  <c r="S33" i="2"/>
  <c r="R33" i="2"/>
  <c r="Q33" i="2"/>
  <c r="P33" i="2"/>
  <c r="O33" i="2"/>
  <c r="W32" i="2"/>
  <c r="V32" i="2"/>
  <c r="U32" i="2"/>
  <c r="T32" i="2"/>
  <c r="T73" i="2" s="1"/>
  <c r="S32" i="2"/>
  <c r="R32" i="2"/>
  <c r="Q32" i="2"/>
  <c r="P32" i="2"/>
  <c r="O32" i="2"/>
  <c r="W31" i="2"/>
  <c r="V31" i="2"/>
  <c r="U31" i="2"/>
  <c r="T31" i="2"/>
  <c r="S31" i="2"/>
  <c r="R31" i="2"/>
  <c r="Q31" i="2"/>
  <c r="P31" i="2"/>
  <c r="O31" i="2"/>
  <c r="W30" i="2"/>
  <c r="V30" i="2"/>
  <c r="U30" i="2"/>
  <c r="T30" i="2"/>
  <c r="S30" i="2"/>
  <c r="R30" i="2"/>
  <c r="Q30" i="2"/>
  <c r="P30" i="2"/>
  <c r="O30" i="2"/>
  <c r="W29" i="2"/>
  <c r="V29" i="2"/>
  <c r="U29" i="2"/>
  <c r="U70" i="2" s="1"/>
  <c r="T29" i="2"/>
  <c r="S29" i="2"/>
  <c r="R29" i="2"/>
  <c r="Q29" i="2"/>
  <c r="P29" i="2"/>
  <c r="O29" i="2"/>
  <c r="O70" i="2" s="1"/>
  <c r="N33" i="2"/>
  <c r="N32" i="2"/>
  <c r="N31" i="2"/>
  <c r="N30" i="2"/>
  <c r="N29" i="2"/>
  <c r="L35" i="2"/>
  <c r="S74" i="2"/>
  <c r="P74" i="2"/>
  <c r="N74" i="2"/>
  <c r="T72" i="2"/>
  <c r="S72" i="2"/>
  <c r="R72" i="2"/>
  <c r="P72" i="2"/>
  <c r="O72" i="2"/>
  <c r="N71" i="2"/>
  <c r="V74" i="2"/>
  <c r="R74" i="2"/>
  <c r="P73" i="2"/>
  <c r="W72" i="2"/>
  <c r="V72" i="2"/>
  <c r="Q72" i="2"/>
  <c r="Q71" i="2"/>
  <c r="P71" i="2"/>
  <c r="N70" i="2"/>
  <c r="W74" i="2"/>
  <c r="O73" i="2"/>
  <c r="N73" i="2"/>
  <c r="U72" i="2"/>
  <c r="R71" i="2"/>
  <c r="O71" i="2"/>
  <c r="T71" i="2" l="1"/>
  <c r="S71" i="2"/>
  <c r="Q73" i="2"/>
  <c r="U71" i="2"/>
  <c r="U76" i="2"/>
  <c r="U84" i="2" s="1"/>
  <c r="O74" i="2"/>
  <c r="O76" i="2" s="1"/>
  <c r="V71" i="2"/>
  <c r="V76" i="2" s="1"/>
  <c r="R73" i="2"/>
  <c r="R76" i="2" s="1"/>
  <c r="Q70" i="2"/>
  <c r="Q76" i="2" s="1"/>
  <c r="S73" i="2"/>
  <c r="P70" i="2"/>
  <c r="P76" i="2" s="1"/>
  <c r="P84" i="2" s="1"/>
  <c r="W71" i="2"/>
  <c r="W76" i="2" s="1"/>
  <c r="N76" i="2"/>
  <c r="N84" i="2" s="1"/>
  <c r="S76" i="2"/>
  <c r="U87" i="2"/>
  <c r="U78" i="2"/>
  <c r="T76" i="2"/>
  <c r="N87" i="2" l="1"/>
  <c r="N78" i="2"/>
  <c r="O87" i="2"/>
  <c r="O78" i="2"/>
  <c r="O84" i="2"/>
  <c r="P78" i="2"/>
  <c r="P87" i="2"/>
  <c r="Q84" i="2"/>
  <c r="Q87" i="2"/>
  <c r="Q78" i="2"/>
  <c r="R84" i="2"/>
  <c r="R78" i="2"/>
  <c r="R87" i="2"/>
  <c r="V87" i="2"/>
  <c r="V78" i="2"/>
  <c r="V84" i="2"/>
  <c r="S84" i="2"/>
  <c r="S87" i="2"/>
  <c r="S78" i="2"/>
  <c r="W87" i="2"/>
  <c r="W78" i="2"/>
  <c r="W84" i="2"/>
  <c r="T87" i="2"/>
  <c r="T78" i="2"/>
  <c r="T8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Tecan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EHC, V_5.23_05/17_InfiniteRX (May  9 2017/12.19.53)
MTP, V_5.23_05/17_InfiniteRX (May  9 2017/12.19.53)
HCP, V_5.23_05/17_InfiniteRX (May  9 2017/12.19.53)
MEM, V_3.00_09/11_MCR (Sep 27 2011/15.05.45)
MEX, V_3.00_09/11_MCR (Sep 27 2011/15.05.10)
ZSCAN, V_5.23_05/17_InfiniteRX (May  9 2017/12.19.53)
</t>
        </r>
      </text>
    </comment>
  </commentList>
</comments>
</file>

<file path=xl/sharedStrings.xml><?xml version="1.0" encoding="utf-8"?>
<sst xmlns="http://schemas.openxmlformats.org/spreadsheetml/2006/main" count="171" uniqueCount="80">
  <si>
    <t>Application: Tecan i-control</t>
  </si>
  <si>
    <t>Tecan i-control , 2.0.10.0</t>
  </si>
  <si>
    <t>Device: infinite 200Pro</t>
  </si>
  <si>
    <t>Serial number: 1705009483</t>
  </si>
  <si>
    <t>Serial number of connected stacker:</t>
  </si>
  <si>
    <t>Firmware: V_5.23_05/17_InfiniteRX (May  9 2017/12.19.53)</t>
  </si>
  <si>
    <t>MAI, V_5.23_05/17_InfiniteRX (May  9 2017/12.19.53)</t>
  </si>
  <si>
    <t>Date:</t>
  </si>
  <si>
    <t>Time:</t>
  </si>
  <si>
    <t>6:12:44 PM</t>
  </si>
  <si>
    <t>System</t>
  </si>
  <si>
    <t>TECAN-HP</t>
  </si>
  <si>
    <t>User</t>
  </si>
  <si>
    <t>Tecan-HP\Tecan</t>
  </si>
  <si>
    <t>Plate</t>
  </si>
  <si>
    <t>Corning 96 Flat Bottom Black Polystyrene Cat. No.: 3631 [COR96fb clear bottom.pdfx]</t>
  </si>
  <si>
    <t>Plate-ID (Stacker)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</si>
  <si>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</si>
  <si>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</si>
  <si>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</si>
  <si>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</si>
  <si>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</si>
  <si>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</si>
  <si>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</si>
  <si>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</si>
  <si>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</si>
  <si>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</si>
  <si>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</si>
  <si>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</si>
  <si>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</si>
  <si>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Part of Plate</t>
  </si>
  <si>
    <t>B2-F12</t>
  </si>
  <si>
    <t>Start Time:</t>
  </si>
  <si>
    <t>9/26/2025 6:12:49 PM</t>
  </si>
  <si>
    <t>Temperature: 27 °C</t>
  </si>
  <si>
    <t>&lt;&gt;</t>
  </si>
  <si>
    <t>B</t>
  </si>
  <si>
    <t>C</t>
  </si>
  <si>
    <t>D</t>
  </si>
  <si>
    <t>E</t>
  </si>
  <si>
    <t>F</t>
  </si>
  <si>
    <t>End Time:</t>
  </si>
  <si>
    <t>9/26/2025 6:13:15 PM</t>
  </si>
  <si>
    <t>Label: gfp50</t>
  </si>
  <si>
    <t>Fluorescence Top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</si>
  <si>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</si>
  <si>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</si>
  <si>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</si>
  <si>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</si>
  <si>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</si>
  <si>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</si>
  <si>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</si>
  <si>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</si>
  <si>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</si>
  <si>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Z-Position (Manual)</t>
  </si>
  <si>
    <t>µm</t>
  </si>
  <si>
    <t>9/26/2025 6:13:19 PM</t>
  </si>
  <si>
    <t>9/26/2025 6:14:07 PM</t>
  </si>
  <si>
    <t>Label: gfp 80</t>
  </si>
  <si>
    <t>9/26/2025 6:14:14 PM</t>
  </si>
  <si>
    <t>Temperature: 27.1 °C</t>
  </si>
  <si>
    <t>9/26/2025 6:15:03 PM</t>
  </si>
  <si>
    <t>Label: gfp100</t>
  </si>
  <si>
    <t>9/26/2025 6:15:10 PM</t>
  </si>
  <si>
    <t>OVER</t>
  </si>
  <si>
    <t>9/26/2025 6:15:58 PM</t>
  </si>
  <si>
    <t>T-TE+</t>
  </si>
  <si>
    <t>T+TE+</t>
  </si>
  <si>
    <t>Kan+</t>
  </si>
  <si>
    <t>Kan-</t>
  </si>
  <si>
    <t>p15A</t>
  </si>
  <si>
    <t>pBR</t>
  </si>
  <si>
    <t>CloDF</t>
  </si>
  <si>
    <t>pUC</t>
  </si>
  <si>
    <t>p15A,++</t>
  </si>
  <si>
    <t>D15/D1</t>
  </si>
  <si>
    <t>D12</t>
  </si>
  <si>
    <t>D15/D12</t>
  </si>
  <si>
    <t>D7</t>
  </si>
  <si>
    <t>D15/D7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</si>
</sst>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7030A0"/>
      <name val="Calibri"/>
      <family val="2"/>
      <scheme val="minor"/>
    </font>
    <font>
      <sz val="11"/>
      <color rgb="FFC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20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0" fontId="1" fillId="9" borderId="0" xfId="0" applyFont="1" applyFill="1"/>
    <xf numFmtId="0" fontId="1" fillId="2" borderId="0" xfId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0" xfId="0" applyFont="1"/>
    <xf numFmtId="0" fontId="5" fillId="0" borderId="0" xfId="0" applyFon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Alignment="1">
      <alignment horizontal="center" vertical="center"/>
    </xf>
  </cellXfs>
  <cellStyles count="8">
    <cellStyle name="Norma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1"/>
  <sheetViews>
    <sheetView tabSelected="1" topLeftCell="B63" workbookViewId="0">
      <selection activeCell="N105" sqref="N105"/>
    </sheetView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s="1">
        <v>45926</v>
      </c>
    </row>
    <row r="6" spans="1:12" x14ac:dyDescent="0.2">
      <c r="A6" t="s">
        <v>8</v>
      </c>
      <c r="B6" s="2" t="s">
        <v>9</v>
      </c>
    </row>
    <row r="9" spans="1:12" x14ac:dyDescent="0.2">
      <c r="A9" t="s">
        <v>10</v>
      </c>
      <c r="E9" t="s">
        <v>11</v>
      </c>
    </row>
    <row r="10" spans="1:12" x14ac:dyDescent="0.2">
      <c r="A10" t="s">
        <v>12</v>
      </c>
      <c r="E10" t="s">
        <v>13</v>
      </c>
    </row>
    <row r="11" spans="1:12" x14ac:dyDescent="0.2">
      <c r="A11" t="s">
        <v>14</v>
      </c>
      <c r="E11" t="s">
        <v>15</v>
      </c>
    </row>
    <row r="12" spans="1:12" x14ac:dyDescent="0.2">
      <c r="A12" t="s">
        <v>16</v>
      </c>
    </row>
    <row r="14" spans="1:12" x14ac:dyDescent="0.2">
      <c r="A14" s="3" t="s">
        <v>17</v>
      </c>
      <c r="B14" s="3"/>
      <c r="C14" s="3"/>
      <c r="D14" s="3"/>
      <c r="E14" s="3">
        <v>5</v>
      </c>
      <c r="F14" s="3" t="s">
        <v>18</v>
      </c>
      <c r="G14" s="3"/>
      <c r="H14" s="3"/>
      <c r="I14" s="3"/>
      <c r="J14" s="3"/>
      <c r="K14" s="3"/>
      <c r="L14" s="3"/>
    </row>
    <row r="15" spans="1:12" x14ac:dyDescent="0.2">
      <c r="A15" s="3" t="s">
        <v>19</v>
      </c>
      <c r="B15" s="3"/>
      <c r="C15" s="3"/>
      <c r="D15" s="3"/>
      <c r="E15" s="3">
        <v>2</v>
      </c>
      <c r="F15" s="3" t="s">
        <v>20</v>
      </c>
      <c r="G15" s="3"/>
      <c r="H15" s="3"/>
      <c r="I15" s="3"/>
      <c r="J15" s="3"/>
      <c r="K15" s="3"/>
      <c r="L15" s="3"/>
    </row>
    <row r="18" spans="1:23" x14ac:dyDescent="0.2">
      <c r="A18" t="s">
        <v>21</v>
      </c>
    </row>
    <row r="19" spans="1:23" x14ac:dyDescent="0.2">
      <c r="A19" t="s">
        <v>22</v>
      </c>
      <c r="E19" t="s">
        <v>23</v>
      </c>
    </row>
    <row r="20" spans="1:23" x14ac:dyDescent="0.2">
      <c r="A20" t="s">
        <v>24</v>
      </c>
      <c r="E20">
        <v>600</v>
      </c>
      <c r="F20" t="s">
        <v>25</v>
      </c>
    </row>
    <row r="21" spans="1:23" x14ac:dyDescent="0.2">
      <c r="A21" t="s">
        <v>26</v>
      </c>
      <c r="E21">
        <v>9</v>
      </c>
      <c r="F21" t="s">
        <v>25</v>
      </c>
    </row>
    <row r="22" spans="1:23" x14ac:dyDescent="0.2">
      <c r="A22" t="s">
        <v>27</v>
      </c>
      <c r="E22">
        <v>10</v>
      </c>
    </row>
    <row r="23" spans="1:23" x14ac:dyDescent="0.2">
      <c r="A23" t="s">
        <v>28</v>
      </c>
      <c r="E23">
        <v>0</v>
      </c>
      <c r="F23" t="s">
        <v>29</v>
      </c>
    </row>
    <row r="24" spans="1:23" x14ac:dyDescent="0.2">
      <c r="A24" t="s">
        <v>30</v>
      </c>
      <c r="E24" t="s">
        <v>31</v>
      </c>
    </row>
    <row r="25" spans="1:23" x14ac:dyDescent="0.2">
      <c r="A25" t="s">
        <v>32</v>
      </c>
      <c r="B25" s="2" t="s">
        <v>33</v>
      </c>
    </row>
    <row r="27" spans="1:23" x14ac:dyDescent="0.2">
      <c r="B27" t="s">
        <v>34</v>
      </c>
    </row>
    <row r="28" spans="1:23" x14ac:dyDescent="0.2">
      <c r="A28" s="4" t="s">
        <v>35</v>
      </c>
      <c r="B28" s="4">
        <v>2</v>
      </c>
      <c r="C28" s="4">
        <v>3</v>
      </c>
      <c r="D28" s="4">
        <v>4</v>
      </c>
      <c r="E28" s="4">
        <v>5</v>
      </c>
      <c r="F28" s="4">
        <v>6</v>
      </c>
      <c r="G28" s="4">
        <v>7</v>
      </c>
      <c r="H28" s="4">
        <v>8</v>
      </c>
      <c r="I28" s="4">
        <v>9</v>
      </c>
      <c r="J28" s="4">
        <v>10</v>
      </c>
      <c r="K28" s="4">
        <v>11</v>
      </c>
      <c r="L28" s="4">
        <v>12</v>
      </c>
    </row>
    <row r="29" spans="1:23" x14ac:dyDescent="0.2">
      <c r="A29" s="4" t="s">
        <v>36</v>
      </c>
      <c r="B29">
        <v>1.0041999816894531</v>
      </c>
      <c r="C29">
        <v>1.1342999935150146</v>
      </c>
      <c r="D29">
        <v>1.0938999652862549</v>
      </c>
      <c r="E29">
        <v>1.1038000583648682</v>
      </c>
      <c r="F29">
        <v>1.1470999717712402</v>
      </c>
      <c r="G29">
        <v>1.1639000177383423</v>
      </c>
      <c r="H29">
        <v>1.1225999593734741</v>
      </c>
      <c r="I29">
        <v>1.0077999830245972</v>
      </c>
      <c r="J29">
        <v>1.0810999870300293</v>
      </c>
      <c r="K29">
        <v>1.1525000333786011</v>
      </c>
      <c r="L29">
        <v>3.9599999785423279E-2</v>
      </c>
      <c r="N29">
        <f>B29-0.04</f>
        <v>0.96419998168945309</v>
      </c>
      <c r="O29">
        <f t="shared" ref="O29:O33" si="0">C29-0.04</f>
        <v>1.0942999935150146</v>
      </c>
      <c r="P29">
        <f t="shared" ref="P29:P33" si="1">D29-0.04</f>
        <v>1.0538999652862548</v>
      </c>
      <c r="Q29">
        <f t="shared" ref="Q29:Q33" si="2">E29-0.04</f>
        <v>1.0638000583648681</v>
      </c>
      <c r="R29">
        <f t="shared" ref="R29:R33" si="3">F29-0.04</f>
        <v>1.1070999717712402</v>
      </c>
      <c r="S29">
        <f t="shared" ref="S29:S33" si="4">G29-0.04</f>
        <v>1.1239000177383422</v>
      </c>
      <c r="T29">
        <f t="shared" ref="T29:T33" si="5">H29-0.04</f>
        <v>1.0825999593734741</v>
      </c>
      <c r="U29">
        <f t="shared" ref="U29:U33" si="6">I29-0.04</f>
        <v>0.96779998302459713</v>
      </c>
      <c r="V29">
        <f t="shared" ref="V29:V33" si="7">J29-0.04</f>
        <v>1.0410999870300293</v>
      </c>
      <c r="W29">
        <f t="shared" ref="W29:W33" si="8">K29-0.04</f>
        <v>1.112500033378601</v>
      </c>
    </row>
    <row r="30" spans="1:23" x14ac:dyDescent="0.2">
      <c r="A30" s="4" t="s">
        <v>37</v>
      </c>
      <c r="B30">
        <v>1.0261000394821167</v>
      </c>
      <c r="C30">
        <v>1.0054999589920044</v>
      </c>
      <c r="D30">
        <v>1.1337000131607056</v>
      </c>
      <c r="E30">
        <v>0.79329997301101685</v>
      </c>
      <c r="F30">
        <v>1.0549999475479126</v>
      </c>
      <c r="G30">
        <v>0.9625999927520752</v>
      </c>
      <c r="H30">
        <v>0.991100013256073</v>
      </c>
      <c r="I30">
        <v>1.1033999919891357</v>
      </c>
      <c r="J30">
        <v>1.0970000028610229</v>
      </c>
      <c r="K30">
        <v>0.89240002632141113</v>
      </c>
      <c r="L30">
        <v>4.0300000458955765E-2</v>
      </c>
      <c r="N30">
        <f t="shared" ref="N30:N33" si="9">B30-0.04</f>
        <v>0.98610003948211666</v>
      </c>
      <c r="O30">
        <f t="shared" si="0"/>
        <v>0.96549995899200436</v>
      </c>
      <c r="P30">
        <f t="shared" si="1"/>
        <v>1.0937000131607055</v>
      </c>
      <c r="Q30">
        <f t="shared" si="2"/>
        <v>0.75329997301101681</v>
      </c>
      <c r="R30">
        <f t="shared" si="3"/>
        <v>1.0149999475479126</v>
      </c>
      <c r="S30">
        <f t="shared" si="4"/>
        <v>0.92259999275207516</v>
      </c>
      <c r="T30">
        <f t="shared" si="5"/>
        <v>0.95110001325607296</v>
      </c>
      <c r="U30">
        <f t="shared" si="6"/>
        <v>1.0633999919891357</v>
      </c>
      <c r="V30">
        <f t="shared" si="7"/>
        <v>1.0570000028610229</v>
      </c>
      <c r="W30">
        <f t="shared" si="8"/>
        <v>0.8524000263214111</v>
      </c>
    </row>
    <row r="31" spans="1:23" x14ac:dyDescent="0.2">
      <c r="A31" s="4" t="s">
        <v>38</v>
      </c>
      <c r="B31">
        <v>1.0976999998092651</v>
      </c>
      <c r="C31">
        <v>0.83490002155303955</v>
      </c>
      <c r="D31">
        <v>1.0099999904632568</v>
      </c>
      <c r="E31">
        <v>1.075700044631958</v>
      </c>
      <c r="F31">
        <v>0.98860001564025879</v>
      </c>
      <c r="G31">
        <v>1.2015000581741333</v>
      </c>
      <c r="H31">
        <v>1.1044000387191772</v>
      </c>
      <c r="I31">
        <v>1.020300030708313</v>
      </c>
      <c r="J31">
        <v>1.0901999473571777</v>
      </c>
      <c r="K31">
        <v>1.1078000068664551</v>
      </c>
      <c r="L31">
        <v>4.14000004529953E-2</v>
      </c>
      <c r="N31">
        <f t="shared" si="9"/>
        <v>1.0576999998092651</v>
      </c>
      <c r="O31">
        <f t="shared" si="0"/>
        <v>0.79490002155303952</v>
      </c>
      <c r="P31">
        <f t="shared" si="1"/>
        <v>0.9699999904632568</v>
      </c>
      <c r="Q31">
        <f t="shared" si="2"/>
        <v>1.035700044631958</v>
      </c>
      <c r="R31">
        <f t="shared" si="3"/>
        <v>0.94860001564025875</v>
      </c>
      <c r="S31">
        <f t="shared" si="4"/>
        <v>1.1615000581741333</v>
      </c>
      <c r="T31">
        <f t="shared" si="5"/>
        <v>1.0644000387191772</v>
      </c>
      <c r="U31">
        <f t="shared" si="6"/>
        <v>0.98030003070831295</v>
      </c>
      <c r="V31">
        <f t="shared" si="7"/>
        <v>1.0501999473571777</v>
      </c>
      <c r="W31">
        <f t="shared" si="8"/>
        <v>1.067800006866455</v>
      </c>
    </row>
    <row r="32" spans="1:23" x14ac:dyDescent="0.2">
      <c r="A32" s="4" t="s">
        <v>39</v>
      </c>
      <c r="B32">
        <v>0.99930000305175781</v>
      </c>
      <c r="C32">
        <v>1.0176000595092773</v>
      </c>
      <c r="D32">
        <v>0.99269998073577881</v>
      </c>
      <c r="E32">
        <v>0.99730002880096436</v>
      </c>
      <c r="F32">
        <v>1.0730999708175659</v>
      </c>
      <c r="G32">
        <v>1.0378999710083008</v>
      </c>
      <c r="H32">
        <v>1.1944999694824219</v>
      </c>
      <c r="I32">
        <v>1.1164000034332275</v>
      </c>
      <c r="J32">
        <v>1.0353000164031982</v>
      </c>
      <c r="K32">
        <v>1.0749000310897827</v>
      </c>
      <c r="L32">
        <v>4.4599998742341995E-2</v>
      </c>
      <c r="N32">
        <f t="shared" si="9"/>
        <v>0.95930000305175778</v>
      </c>
      <c r="O32">
        <f t="shared" si="0"/>
        <v>0.97760005950927731</v>
      </c>
      <c r="P32">
        <f t="shared" si="1"/>
        <v>0.95269998073577877</v>
      </c>
      <c r="Q32">
        <f t="shared" si="2"/>
        <v>0.95730002880096432</v>
      </c>
      <c r="R32">
        <f t="shared" si="3"/>
        <v>1.0330999708175659</v>
      </c>
      <c r="S32">
        <f t="shared" si="4"/>
        <v>0.99789997100830075</v>
      </c>
      <c r="T32">
        <f t="shared" si="5"/>
        <v>1.1544999694824218</v>
      </c>
      <c r="U32">
        <f t="shared" si="6"/>
        <v>1.0764000034332275</v>
      </c>
      <c r="V32">
        <f t="shared" si="7"/>
        <v>0.99530001640319821</v>
      </c>
      <c r="W32">
        <f t="shared" si="8"/>
        <v>1.0349000310897827</v>
      </c>
    </row>
    <row r="33" spans="1:23" x14ac:dyDescent="0.2">
      <c r="A33" s="4" t="s">
        <v>40</v>
      </c>
      <c r="B33">
        <v>0.73580002784729004</v>
      </c>
      <c r="C33">
        <v>0.96109998226165771</v>
      </c>
      <c r="D33">
        <v>0.80419999361038208</v>
      </c>
      <c r="E33">
        <v>0.96160000562667847</v>
      </c>
      <c r="F33">
        <v>0.91949999332427979</v>
      </c>
      <c r="G33">
        <v>1.1409000158309937</v>
      </c>
      <c r="H33">
        <v>0.85180002450942993</v>
      </c>
      <c r="I33">
        <v>1.1117000579833984</v>
      </c>
      <c r="J33">
        <v>0.7687000036239624</v>
      </c>
      <c r="K33">
        <v>1.1009999513626099</v>
      </c>
      <c r="L33">
        <v>4.4700000435113907E-2</v>
      </c>
      <c r="N33">
        <f t="shared" si="9"/>
        <v>0.69580002784729</v>
      </c>
      <c r="O33">
        <f t="shared" si="0"/>
        <v>0.92109998226165768</v>
      </c>
      <c r="P33">
        <f t="shared" si="1"/>
        <v>0.76419999361038204</v>
      </c>
      <c r="Q33">
        <f t="shared" si="2"/>
        <v>0.92160000562667843</v>
      </c>
      <c r="R33">
        <f t="shared" si="3"/>
        <v>0.87949999332427975</v>
      </c>
      <c r="S33">
        <f t="shared" si="4"/>
        <v>1.1009000158309936</v>
      </c>
      <c r="T33">
        <f t="shared" si="5"/>
        <v>0.8118000245094299</v>
      </c>
      <c r="U33">
        <f t="shared" si="6"/>
        <v>1.0717000579833984</v>
      </c>
      <c r="V33">
        <f t="shared" si="7"/>
        <v>0.72870000362396237</v>
      </c>
      <c r="W33">
        <f t="shared" si="8"/>
        <v>1.0609999513626098</v>
      </c>
    </row>
    <row r="35" spans="1:23" x14ac:dyDescent="0.2">
      <c r="L35">
        <f>AVERAGE(L29:L31)</f>
        <v>4.043333356579145E-2</v>
      </c>
    </row>
    <row r="38" spans="1:23" x14ac:dyDescent="0.2">
      <c r="A38" t="s">
        <v>41</v>
      </c>
      <c r="B38" s="2" t="s">
        <v>42</v>
      </c>
    </row>
    <row r="43" spans="1:23" x14ac:dyDescent="0.2">
      <c r="A43" t="s">
        <v>43</v>
      </c>
    </row>
    <row r="44" spans="1:23" x14ac:dyDescent="0.2">
      <c r="A44" t="s">
        <v>22</v>
      </c>
      <c r="E44" t="s">
        <v>44</v>
      </c>
    </row>
    <row r="45" spans="1:23" x14ac:dyDescent="0.2">
      <c r="A45" t="s">
        <v>45</v>
      </c>
      <c r="E45">
        <v>488</v>
      </c>
      <c r="F45" t="s">
        <v>25</v>
      </c>
    </row>
    <row r="46" spans="1:23" x14ac:dyDescent="0.2">
      <c r="A46" t="s">
        <v>46</v>
      </c>
      <c r="E46">
        <v>520</v>
      </c>
      <c r="F46" t="s">
        <v>25</v>
      </c>
    </row>
    <row r="47" spans="1:23" x14ac:dyDescent="0.2">
      <c r="A47" t="s">
        <v>47</v>
      </c>
      <c r="E47">
        <v>9</v>
      </c>
      <c r="F47" t="s">
        <v>25</v>
      </c>
    </row>
    <row r="48" spans="1:23" x14ac:dyDescent="0.2">
      <c r="A48" t="s">
        <v>48</v>
      </c>
      <c r="E48">
        <v>20</v>
      </c>
      <c r="F48" t="s">
        <v>25</v>
      </c>
    </row>
    <row r="49" spans="1:12" x14ac:dyDescent="0.2">
      <c r="A49" t="s">
        <v>49</v>
      </c>
      <c r="E49">
        <v>50</v>
      </c>
      <c r="F49" t="s">
        <v>50</v>
      </c>
    </row>
    <row r="50" spans="1:12" x14ac:dyDescent="0.2">
      <c r="A50" t="s">
        <v>27</v>
      </c>
      <c r="E50">
        <v>25</v>
      </c>
    </row>
    <row r="51" spans="1:12" x14ac:dyDescent="0.2">
      <c r="A51" t="s">
        <v>51</v>
      </c>
      <c r="E51">
        <v>20</v>
      </c>
      <c r="F51" t="s">
        <v>52</v>
      </c>
    </row>
    <row r="52" spans="1:12" x14ac:dyDescent="0.2">
      <c r="A52" t="s">
        <v>53</v>
      </c>
      <c r="E52">
        <v>0</v>
      </c>
      <c r="F52" t="s">
        <v>52</v>
      </c>
    </row>
    <row r="53" spans="1:12" x14ac:dyDescent="0.2">
      <c r="A53" t="s">
        <v>28</v>
      </c>
      <c r="E53">
        <v>0</v>
      </c>
      <c r="F53" t="s">
        <v>29</v>
      </c>
    </row>
    <row r="54" spans="1:12" x14ac:dyDescent="0.2">
      <c r="A54" t="s">
        <v>54</v>
      </c>
      <c r="E54">
        <v>20000</v>
      </c>
      <c r="F54" t="s">
        <v>55</v>
      </c>
    </row>
    <row r="55" spans="1:12" x14ac:dyDescent="0.2">
      <c r="A55" t="s">
        <v>30</v>
      </c>
      <c r="E55" t="s">
        <v>31</v>
      </c>
    </row>
    <row r="56" spans="1:12" x14ac:dyDescent="0.2">
      <c r="A56" t="s">
        <v>32</v>
      </c>
      <c r="B56" s="2" t="s">
        <v>56</v>
      </c>
    </row>
    <row r="58" spans="1:12" x14ac:dyDescent="0.2">
      <c r="B58" t="s">
        <v>34</v>
      </c>
    </row>
    <row r="59" spans="1:12" x14ac:dyDescent="0.2">
      <c r="A59" s="4" t="s">
        <v>35</v>
      </c>
      <c r="B59" s="4">
        <v>2</v>
      </c>
      <c r="C59" s="4">
        <v>3</v>
      </c>
      <c r="D59" s="4">
        <v>4</v>
      </c>
      <c r="E59" s="4">
        <v>5</v>
      </c>
      <c r="F59" s="4">
        <v>6</v>
      </c>
      <c r="G59" s="4">
        <v>7</v>
      </c>
      <c r="H59" s="4">
        <v>8</v>
      </c>
      <c r="I59" s="4">
        <v>9</v>
      </c>
      <c r="J59" s="4">
        <v>10</v>
      </c>
      <c r="K59" s="4">
        <v>11</v>
      </c>
      <c r="L59" s="4">
        <v>12</v>
      </c>
    </row>
    <row r="60" spans="1:12" x14ac:dyDescent="0.2">
      <c r="A60" s="4" t="s">
        <v>36</v>
      </c>
      <c r="B60">
        <v>82</v>
      </c>
      <c r="C60">
        <v>469</v>
      </c>
      <c r="D60">
        <v>210</v>
      </c>
      <c r="E60">
        <v>267</v>
      </c>
      <c r="F60">
        <v>119</v>
      </c>
      <c r="G60">
        <v>95</v>
      </c>
      <c r="H60">
        <v>445</v>
      </c>
      <c r="I60">
        <v>221</v>
      </c>
      <c r="J60">
        <v>354</v>
      </c>
      <c r="K60">
        <v>118</v>
      </c>
      <c r="L60">
        <v>59</v>
      </c>
    </row>
    <row r="61" spans="1:12" x14ac:dyDescent="0.2">
      <c r="A61" s="4" t="s">
        <v>37</v>
      </c>
      <c r="B61">
        <v>84</v>
      </c>
      <c r="C61">
        <v>364</v>
      </c>
      <c r="D61">
        <v>245</v>
      </c>
      <c r="E61">
        <v>173</v>
      </c>
      <c r="F61">
        <v>113</v>
      </c>
      <c r="G61">
        <v>85</v>
      </c>
      <c r="H61">
        <v>371</v>
      </c>
      <c r="I61">
        <v>254</v>
      </c>
      <c r="J61">
        <v>340</v>
      </c>
      <c r="K61">
        <v>98</v>
      </c>
      <c r="L61">
        <v>60</v>
      </c>
    </row>
    <row r="62" spans="1:12" x14ac:dyDescent="0.2">
      <c r="A62" s="4" t="s">
        <v>38</v>
      </c>
      <c r="B62">
        <v>88</v>
      </c>
      <c r="C62">
        <v>262</v>
      </c>
      <c r="D62">
        <v>247</v>
      </c>
      <c r="E62">
        <v>389</v>
      </c>
      <c r="F62">
        <v>105</v>
      </c>
      <c r="G62">
        <v>95</v>
      </c>
      <c r="H62">
        <v>433</v>
      </c>
      <c r="I62">
        <v>222</v>
      </c>
      <c r="J62">
        <v>329</v>
      </c>
      <c r="K62">
        <v>121</v>
      </c>
      <c r="L62">
        <v>64</v>
      </c>
    </row>
    <row r="63" spans="1:12" x14ac:dyDescent="0.2">
      <c r="A63" s="4" t="s">
        <v>39</v>
      </c>
      <c r="B63">
        <v>93</v>
      </c>
      <c r="C63">
        <v>408</v>
      </c>
      <c r="D63">
        <v>179</v>
      </c>
      <c r="E63">
        <v>361</v>
      </c>
      <c r="F63">
        <v>119</v>
      </c>
      <c r="G63">
        <v>95</v>
      </c>
      <c r="H63">
        <v>469</v>
      </c>
      <c r="I63">
        <v>288</v>
      </c>
      <c r="J63">
        <v>316</v>
      </c>
      <c r="K63">
        <v>119</v>
      </c>
      <c r="L63">
        <v>8</v>
      </c>
    </row>
    <row r="64" spans="1:12" x14ac:dyDescent="0.2">
      <c r="A64" s="4" t="s">
        <v>40</v>
      </c>
      <c r="B64">
        <v>80</v>
      </c>
      <c r="C64">
        <v>358</v>
      </c>
      <c r="D64">
        <v>136</v>
      </c>
      <c r="E64">
        <v>351</v>
      </c>
      <c r="F64">
        <v>103</v>
      </c>
      <c r="G64">
        <v>97</v>
      </c>
      <c r="H64">
        <v>279</v>
      </c>
      <c r="I64">
        <v>257</v>
      </c>
      <c r="J64">
        <v>216</v>
      </c>
      <c r="K64">
        <v>116</v>
      </c>
      <c r="L64">
        <v>7</v>
      </c>
    </row>
    <row r="67" spans="1:23" x14ac:dyDescent="0.2">
      <c r="N67" s="19" t="s">
        <v>66</v>
      </c>
      <c r="O67" s="19"/>
      <c r="P67" s="19"/>
      <c r="Q67" s="19"/>
      <c r="R67" t="s">
        <v>67</v>
      </c>
      <c r="S67" s="19" t="s">
        <v>66</v>
      </c>
      <c r="T67" s="19"/>
      <c r="U67" s="19"/>
      <c r="V67" s="19"/>
      <c r="W67" t="s">
        <v>67</v>
      </c>
    </row>
    <row r="68" spans="1:23" x14ac:dyDescent="0.2">
      <c r="N68" s="19" t="s">
        <v>68</v>
      </c>
      <c r="O68" s="19"/>
      <c r="P68" s="19"/>
      <c r="Q68" s="19"/>
      <c r="R68" s="19"/>
      <c r="S68" s="19" t="s">
        <v>69</v>
      </c>
      <c r="T68" s="19"/>
      <c r="U68" s="19"/>
      <c r="V68" s="19"/>
      <c r="W68" s="19"/>
    </row>
    <row r="69" spans="1:23" ht="16" thickBot="1" x14ac:dyDescent="0.25">
      <c r="A69" t="s">
        <v>41</v>
      </c>
      <c r="B69" s="2" t="s">
        <v>57</v>
      </c>
      <c r="N69" t="s">
        <v>70</v>
      </c>
      <c r="O69" t="s">
        <v>71</v>
      </c>
      <c r="P69" t="s">
        <v>72</v>
      </c>
      <c r="Q69" t="s">
        <v>73</v>
      </c>
      <c r="R69" t="s">
        <v>74</v>
      </c>
      <c r="S69" t="s">
        <v>70</v>
      </c>
      <c r="T69" t="s">
        <v>71</v>
      </c>
      <c r="U69" t="s">
        <v>72</v>
      </c>
      <c r="V69" t="s">
        <v>73</v>
      </c>
      <c r="W69" t="s">
        <v>74</v>
      </c>
    </row>
    <row r="70" spans="1:23" x14ac:dyDescent="0.2">
      <c r="N70" s="6">
        <f>N91/N29</f>
        <v>655.46568347016716</v>
      </c>
      <c r="O70" s="7">
        <f t="shared" ref="O70:W70" si="10">O91/O29</f>
        <v>10621.401872319871</v>
      </c>
      <c r="P70" s="7">
        <f t="shared" si="10"/>
        <v>4072.4927805023972</v>
      </c>
      <c r="Q70" s="7">
        <f t="shared" si="10"/>
        <v>5550.8551194069123</v>
      </c>
      <c r="R70" s="8">
        <f t="shared" si="10"/>
        <v>1503.9292227026076</v>
      </c>
      <c r="S70" s="6">
        <f t="shared" si="10"/>
        <v>870.18416635321239</v>
      </c>
      <c r="T70" s="7">
        <f t="shared" si="10"/>
        <v>10106.226132071733</v>
      </c>
      <c r="U70" s="7">
        <f t="shared" si="10"/>
        <v>4747.8818770378257</v>
      </c>
      <c r="V70" s="7">
        <f t="shared" si="10"/>
        <v>7985.7843661275474</v>
      </c>
      <c r="W70" s="8">
        <f t="shared" si="10"/>
        <v>1460.6741134784193</v>
      </c>
    </row>
    <row r="71" spans="1:23" x14ac:dyDescent="0.2">
      <c r="N71" s="9">
        <f t="shared" ref="N71:W74" si="11">N92/N30</f>
        <v>681.47244001016691</v>
      </c>
      <c r="O71">
        <f t="shared" si="11"/>
        <v>9012.9470425716136</v>
      </c>
      <c r="P71">
        <f t="shared" si="11"/>
        <v>4837.7068083865461</v>
      </c>
      <c r="Q71">
        <f t="shared" si="11"/>
        <v>4278.5080518685545</v>
      </c>
      <c r="R71" s="10">
        <f t="shared" si="11"/>
        <v>1486.699584217238</v>
      </c>
      <c r="S71" s="9">
        <f t="shared" si="11"/>
        <v>745.718627146014</v>
      </c>
      <c r="T71">
        <f t="shared" si="11"/>
        <v>9334.4547116620615</v>
      </c>
      <c r="U71">
        <f t="shared" si="11"/>
        <v>5195.5990611446668</v>
      </c>
      <c r="V71">
        <f t="shared" si="11"/>
        <v>7522.2327137925449</v>
      </c>
      <c r="W71" s="10">
        <f t="shared" si="11"/>
        <v>1245.8939080318094</v>
      </c>
    </row>
    <row r="72" spans="1:23" x14ac:dyDescent="0.2">
      <c r="N72" s="9">
        <f t="shared" si="11"/>
        <v>719.48567659755224</v>
      </c>
      <c r="O72">
        <f t="shared" si="11"/>
        <v>7255.0004322967534</v>
      </c>
      <c r="P72">
        <f t="shared" si="11"/>
        <v>5488.6598477772568</v>
      </c>
      <c r="Q72">
        <f t="shared" si="11"/>
        <v>9069.2281502583664</v>
      </c>
      <c r="R72" s="10">
        <f t="shared" si="11"/>
        <v>1340.9234440518769</v>
      </c>
      <c r="S72" s="9">
        <f t="shared" si="11"/>
        <v>798.10585757286572</v>
      </c>
      <c r="T72">
        <f t="shared" si="11"/>
        <v>9961.480284009469</v>
      </c>
      <c r="U72">
        <f t="shared" si="11"/>
        <v>4672.0390253285359</v>
      </c>
      <c r="V72">
        <f t="shared" si="11"/>
        <v>7298.6101544652802</v>
      </c>
      <c r="W72" s="10">
        <f t="shared" si="11"/>
        <v>1558.3442492036891</v>
      </c>
    </row>
    <row r="73" spans="1:23" x14ac:dyDescent="0.2">
      <c r="N73" s="9">
        <f t="shared" si="11"/>
        <v>935.05680928430434</v>
      </c>
      <c r="O73">
        <f t="shared" si="11"/>
        <v>10099.221971156505</v>
      </c>
      <c r="P73">
        <f t="shared" si="11"/>
        <v>3546.7619065032077</v>
      </c>
      <c r="Q73">
        <f t="shared" si="11"/>
        <v>8915.7001391614322</v>
      </c>
      <c r="R73" s="10">
        <f t="shared" si="11"/>
        <v>1569.0640265115744</v>
      </c>
      <c r="S73" s="9">
        <f t="shared" si="11"/>
        <v>959.01395711338228</v>
      </c>
      <c r="T73">
        <f t="shared" si="11"/>
        <v>9996.5355609095332</v>
      </c>
      <c r="U73">
        <f t="shared" si="11"/>
        <v>5997.7703264662669</v>
      </c>
      <c r="V73">
        <f t="shared" si="11"/>
        <v>7264.1413451671351</v>
      </c>
      <c r="W73" s="10">
        <f t="shared" si="11"/>
        <v>1594.3568948031602</v>
      </c>
    </row>
    <row r="74" spans="1:23" ht="16" thickBot="1" x14ac:dyDescent="0.25">
      <c r="A74" t="s">
        <v>58</v>
      </c>
      <c r="N74" s="11">
        <f t="shared" si="11"/>
        <v>790.45699624592521</v>
      </c>
      <c r="O74" s="12">
        <f t="shared" si="11"/>
        <v>9129.3020974255633</v>
      </c>
      <c r="P74" s="12">
        <f t="shared" si="11"/>
        <v>2814.7082151071841</v>
      </c>
      <c r="Q74" s="12">
        <f t="shared" si="11"/>
        <v>8964.8436952666088</v>
      </c>
      <c r="R74" s="13">
        <f t="shared" si="11"/>
        <v>1407.6179754370253</v>
      </c>
      <c r="S74" s="11">
        <f t="shared" si="11"/>
        <v>925.60630878983784</v>
      </c>
      <c r="T74" s="12">
        <f t="shared" si="11"/>
        <v>7645.9716834215242</v>
      </c>
      <c r="U74" s="12">
        <f t="shared" si="11"/>
        <v>5202.9483048571201</v>
      </c>
      <c r="V74" s="12">
        <f t="shared" si="11"/>
        <v>6069.7131576829806</v>
      </c>
      <c r="W74" s="13">
        <f t="shared" si="11"/>
        <v>1486.3337156375051</v>
      </c>
    </row>
    <row r="75" spans="1:23" x14ac:dyDescent="0.2">
      <c r="A75" t="s">
        <v>22</v>
      </c>
      <c r="E75" t="s">
        <v>44</v>
      </c>
    </row>
    <row r="76" spans="1:23" x14ac:dyDescent="0.2">
      <c r="A76" t="s">
        <v>45</v>
      </c>
      <c r="E76">
        <v>488</v>
      </c>
      <c r="F76" t="s">
        <v>25</v>
      </c>
      <c r="N76">
        <f t="shared" ref="N76:W76" si="12">AVERAGE(N70:N74)</f>
        <v>756.38752112162331</v>
      </c>
      <c r="O76">
        <f t="shared" si="12"/>
        <v>9223.5746831540619</v>
      </c>
      <c r="P76">
        <f t="shared" si="12"/>
        <v>4152.0659116553188</v>
      </c>
      <c r="Q76">
        <f t="shared" si="12"/>
        <v>7355.8270311923752</v>
      </c>
      <c r="R76">
        <f t="shared" si="12"/>
        <v>1461.6468505840644</v>
      </c>
      <c r="S76">
        <f t="shared" si="12"/>
        <v>859.72578339506254</v>
      </c>
      <c r="T76">
        <f t="shared" si="12"/>
        <v>9408.9336744148641</v>
      </c>
      <c r="U76">
        <f t="shared" si="12"/>
        <v>5163.2477189668834</v>
      </c>
      <c r="V76">
        <f t="shared" si="12"/>
        <v>7228.0963474470973</v>
      </c>
      <c r="W76">
        <f t="shared" si="12"/>
        <v>1469.1205762309169</v>
      </c>
    </row>
    <row r="77" spans="1:23" x14ac:dyDescent="0.2">
      <c r="A77" t="s">
        <v>46</v>
      </c>
      <c r="E77">
        <v>520</v>
      </c>
      <c r="F77" t="s">
        <v>25</v>
      </c>
    </row>
    <row r="78" spans="1:23" x14ac:dyDescent="0.2">
      <c r="A78" t="s">
        <v>47</v>
      </c>
      <c r="E78">
        <v>9</v>
      </c>
      <c r="F78" t="s">
        <v>25</v>
      </c>
      <c r="M78" t="s">
        <v>75</v>
      </c>
      <c r="N78" s="14">
        <f>N76/974</f>
        <v>0.77657856377990075</v>
      </c>
      <c r="O78" s="15">
        <f>O76/10336</f>
        <v>0.89237371160546264</v>
      </c>
      <c r="P78" s="15">
        <f>P76/16798</f>
        <v>0.24717620619450642</v>
      </c>
      <c r="Q78" s="15">
        <f>Q76/40900</f>
        <v>0.17984907166729525</v>
      </c>
      <c r="R78" s="14">
        <f>R76/1809</f>
        <v>0.80798609761418705</v>
      </c>
      <c r="S78">
        <f>S76/895</f>
        <v>0.96058746748051682</v>
      </c>
      <c r="T78" s="15">
        <f>T76/10832</f>
        <v>0.86862386211363218</v>
      </c>
      <c r="U78" s="15">
        <f>U76/17626</f>
        <v>0.29293360484323633</v>
      </c>
      <c r="V78" s="15">
        <f>V76/52231</f>
        <v>0.13838709477986438</v>
      </c>
      <c r="W78">
        <f>W76/1938</f>
        <v>0.75806015285393025</v>
      </c>
    </row>
    <row r="79" spans="1:23" x14ac:dyDescent="0.2">
      <c r="A79" t="s">
        <v>48</v>
      </c>
      <c r="E79">
        <v>20</v>
      </c>
      <c r="F79" t="s">
        <v>25</v>
      </c>
      <c r="N79" s="14"/>
      <c r="O79" s="15"/>
      <c r="P79" s="15"/>
      <c r="Q79" s="15"/>
      <c r="R79" s="14"/>
      <c r="T79" s="15"/>
      <c r="U79" s="15"/>
      <c r="V79" s="15"/>
    </row>
    <row r="80" spans="1:23" x14ac:dyDescent="0.2">
      <c r="A80" t="s">
        <v>49</v>
      </c>
      <c r="E80">
        <v>80</v>
      </c>
      <c r="F80" t="s">
        <v>50</v>
      </c>
      <c r="O80">
        <v>0.76480811530581838</v>
      </c>
      <c r="P80">
        <v>0.27963033866450804</v>
      </c>
      <c r="Q80">
        <v>2.5762064429055653E-2</v>
      </c>
      <c r="T80">
        <v>0.47405271129345883</v>
      </c>
      <c r="U80">
        <v>0.12721054123881126</v>
      </c>
      <c r="V80">
        <v>1.7987497954172215E-2</v>
      </c>
    </row>
    <row r="81" spans="1:23" x14ac:dyDescent="0.2">
      <c r="A81" t="s">
        <v>27</v>
      </c>
      <c r="E81">
        <v>25</v>
      </c>
    </row>
    <row r="82" spans="1:23" x14ac:dyDescent="0.2">
      <c r="A82" t="s">
        <v>51</v>
      </c>
      <c r="E82">
        <v>20</v>
      </c>
      <c r="F82" t="s">
        <v>52</v>
      </c>
    </row>
    <row r="83" spans="1:23" x14ac:dyDescent="0.2">
      <c r="A83" t="s">
        <v>53</v>
      </c>
      <c r="E83">
        <v>0</v>
      </c>
      <c r="F83" t="s">
        <v>52</v>
      </c>
      <c r="M83" t="s">
        <v>76</v>
      </c>
      <c r="N83">
        <v>884.30419678949022</v>
      </c>
      <c r="O83">
        <v>9467.1119959733023</v>
      </c>
      <c r="P83">
        <v>4292.0614771064074</v>
      </c>
      <c r="Q83">
        <v>3200.6581217613343</v>
      </c>
      <c r="R83">
        <v>1641.5480265932845</v>
      </c>
      <c r="S83">
        <v>1014.4985142969326</v>
      </c>
      <c r="T83">
        <v>6540.8131678551936</v>
      </c>
      <c r="U83">
        <v>3326.0919975396782</v>
      </c>
      <c r="V83">
        <v>1689.8628387652054</v>
      </c>
      <c r="W83">
        <v>1545.5791580880066</v>
      </c>
    </row>
    <row r="84" spans="1:23" x14ac:dyDescent="0.2">
      <c r="A84" t="s">
        <v>28</v>
      </c>
      <c r="E84">
        <v>0</v>
      </c>
      <c r="F84" t="s">
        <v>29</v>
      </c>
      <c r="M84" t="s">
        <v>77</v>
      </c>
      <c r="N84">
        <f>N76/N83</f>
        <v>0.85534765510298982</v>
      </c>
      <c r="O84" s="14">
        <f t="shared" ref="O84:W84" si="13">O76/O83</f>
        <v>0.97427543764953606</v>
      </c>
      <c r="P84" s="14">
        <f t="shared" si="13"/>
        <v>0.96738267468958294</v>
      </c>
      <c r="Q84" s="14">
        <f>Q76/Q83</f>
        <v>2.2982232876357429</v>
      </c>
      <c r="R84">
        <f t="shared" si="13"/>
        <v>0.89040760727386681</v>
      </c>
      <c r="S84">
        <f t="shared" si="13"/>
        <v>0.84743917440911121</v>
      </c>
      <c r="T84" s="14">
        <f t="shared" si="13"/>
        <v>1.4384960146324068</v>
      </c>
      <c r="U84" s="14">
        <f t="shared" si="13"/>
        <v>1.552346634664993</v>
      </c>
      <c r="V84" s="14">
        <f>V76/V83</f>
        <v>4.2773272372382118</v>
      </c>
      <c r="W84">
        <f t="shared" si="13"/>
        <v>0.95053078876162223</v>
      </c>
    </row>
    <row r="85" spans="1:23" x14ac:dyDescent="0.2">
      <c r="A85" t="s">
        <v>54</v>
      </c>
      <c r="E85">
        <v>20000</v>
      </c>
      <c r="F85" t="s">
        <v>55</v>
      </c>
    </row>
    <row r="86" spans="1:23" ht="16" thickBot="1" x14ac:dyDescent="0.25">
      <c r="A86" t="s">
        <v>30</v>
      </c>
      <c r="E86" t="s">
        <v>31</v>
      </c>
      <c r="M86" t="s">
        <v>78</v>
      </c>
      <c r="N86">
        <v>1332.2986394617906</v>
      </c>
      <c r="O86">
        <v>12151.597751635452</v>
      </c>
      <c r="P86">
        <v>9983.4982568661017</v>
      </c>
      <c r="Q86">
        <v>14005.697216489109</v>
      </c>
      <c r="R86">
        <v>2266.3493807658733</v>
      </c>
      <c r="S86">
        <v>1359.7443166378155</v>
      </c>
      <c r="T86">
        <v>12702.261450492337</v>
      </c>
      <c r="U86">
        <v>11913.199206990072</v>
      </c>
      <c r="V86">
        <v>11945.967625454212</v>
      </c>
      <c r="W86">
        <v>2461.8538792303502</v>
      </c>
    </row>
    <row r="87" spans="1:23" ht="16" thickBot="1" x14ac:dyDescent="0.25">
      <c r="A87" t="s">
        <v>32</v>
      </c>
      <c r="B87" s="2" t="s">
        <v>59</v>
      </c>
      <c r="M87" t="s">
        <v>79</v>
      </c>
      <c r="N87" s="16">
        <f>N76/N86</f>
        <v>0.56773121184540243</v>
      </c>
      <c r="O87" s="17">
        <f t="shared" ref="O87:W87" si="14">O76/O86</f>
        <v>0.75904213352624228</v>
      </c>
      <c r="P87" s="17">
        <f t="shared" si="14"/>
        <v>0.41589288692465648</v>
      </c>
      <c r="Q87" s="17">
        <f t="shared" si="14"/>
        <v>0.52520248849391482</v>
      </c>
      <c r="R87" s="18">
        <f t="shared" si="14"/>
        <v>0.64493447611776711</v>
      </c>
      <c r="S87" s="16">
        <f t="shared" si="14"/>
        <v>0.63227017967677301</v>
      </c>
      <c r="T87" s="17">
        <f t="shared" si="14"/>
        <v>0.74072901987465989</v>
      </c>
      <c r="U87" s="17">
        <f t="shared" si="14"/>
        <v>0.43340563934642734</v>
      </c>
      <c r="V87" s="17">
        <f t="shared" si="14"/>
        <v>0.60506579073976596</v>
      </c>
      <c r="W87" s="18">
        <f t="shared" si="14"/>
        <v>0.59675376699863614</v>
      </c>
    </row>
    <row r="89" spans="1:23" x14ac:dyDescent="0.2">
      <c r="B89" t="s">
        <v>60</v>
      </c>
    </row>
    <row r="90" spans="1:23" x14ac:dyDescent="0.2">
      <c r="A90" s="4" t="s">
        <v>35</v>
      </c>
      <c r="B90" s="4">
        <v>2</v>
      </c>
      <c r="C90" s="4">
        <v>3</v>
      </c>
      <c r="D90" s="4">
        <v>4</v>
      </c>
      <c r="E90" s="4">
        <v>5</v>
      </c>
      <c r="F90" s="4">
        <v>6</v>
      </c>
      <c r="G90" s="4">
        <v>7</v>
      </c>
      <c r="H90" s="4">
        <v>8</v>
      </c>
      <c r="I90" s="4">
        <v>9</v>
      </c>
      <c r="J90" s="4">
        <v>10</v>
      </c>
      <c r="K90" s="4">
        <v>11</v>
      </c>
      <c r="L90" s="4">
        <v>12</v>
      </c>
    </row>
    <row r="91" spans="1:23" x14ac:dyDescent="0.2">
      <c r="A91" s="4" t="s">
        <v>36</v>
      </c>
      <c r="B91">
        <v>2374</v>
      </c>
      <c r="C91">
        <v>13365</v>
      </c>
      <c r="D91">
        <v>6034</v>
      </c>
      <c r="E91">
        <v>7647</v>
      </c>
      <c r="F91">
        <v>3407</v>
      </c>
      <c r="G91">
        <v>2720</v>
      </c>
      <c r="H91">
        <v>12683</v>
      </c>
      <c r="I91">
        <v>6337</v>
      </c>
      <c r="J91">
        <v>10056</v>
      </c>
      <c r="K91">
        <v>3367</v>
      </c>
      <c r="L91">
        <v>1678</v>
      </c>
      <c r="N91">
        <f>B91-1742</f>
        <v>632</v>
      </c>
      <c r="O91">
        <f t="shared" ref="O91:O95" si="15">C91-1742</f>
        <v>11623</v>
      </c>
      <c r="P91">
        <f t="shared" ref="P91:P95" si="16">D91-1742</f>
        <v>4292</v>
      </c>
      <c r="Q91">
        <f t="shared" ref="Q91:Q95" si="17">E91-1742</f>
        <v>5905</v>
      </c>
      <c r="R91">
        <f t="shared" ref="R91:R95" si="18">F91-1742</f>
        <v>1665</v>
      </c>
      <c r="S91">
        <f t="shared" ref="S91:S95" si="19">G91-1742</f>
        <v>978</v>
      </c>
      <c r="T91">
        <f t="shared" ref="T91:T95" si="20">H91-1742</f>
        <v>10941</v>
      </c>
      <c r="U91">
        <f t="shared" ref="U91:U95" si="21">I91-1742</f>
        <v>4595</v>
      </c>
      <c r="V91">
        <f t="shared" ref="V91:V95" si="22">J91-1742</f>
        <v>8314</v>
      </c>
      <c r="W91">
        <f t="shared" ref="W91:W95" si="23">K91-1742</f>
        <v>1625</v>
      </c>
    </row>
    <row r="92" spans="1:23" x14ac:dyDescent="0.2">
      <c r="A92" s="4" t="s">
        <v>37</v>
      </c>
      <c r="B92">
        <v>2414</v>
      </c>
      <c r="C92">
        <v>10444</v>
      </c>
      <c r="D92">
        <v>7033</v>
      </c>
      <c r="E92">
        <v>4965</v>
      </c>
      <c r="F92">
        <v>3251</v>
      </c>
      <c r="G92">
        <v>2430</v>
      </c>
      <c r="H92">
        <v>10620</v>
      </c>
      <c r="I92">
        <v>7267</v>
      </c>
      <c r="J92">
        <v>9693</v>
      </c>
      <c r="K92">
        <v>2804</v>
      </c>
      <c r="L92">
        <v>1742</v>
      </c>
      <c r="N92">
        <f t="shared" ref="N92:N95" si="24">B92-1742</f>
        <v>672</v>
      </c>
      <c r="O92">
        <f t="shared" si="15"/>
        <v>8702</v>
      </c>
      <c r="P92">
        <f t="shared" si="16"/>
        <v>5291</v>
      </c>
      <c r="Q92">
        <f t="shared" si="17"/>
        <v>3223</v>
      </c>
      <c r="R92">
        <f t="shared" si="18"/>
        <v>1509</v>
      </c>
      <c r="S92">
        <f t="shared" si="19"/>
        <v>688</v>
      </c>
      <c r="T92">
        <f t="shared" si="20"/>
        <v>8878</v>
      </c>
      <c r="U92">
        <f t="shared" si="21"/>
        <v>5525</v>
      </c>
      <c r="V92">
        <f t="shared" si="22"/>
        <v>7951</v>
      </c>
      <c r="W92">
        <f t="shared" si="23"/>
        <v>1062</v>
      </c>
    </row>
    <row r="93" spans="1:23" x14ac:dyDescent="0.2">
      <c r="A93" s="4" t="s">
        <v>38</v>
      </c>
      <c r="B93">
        <v>2503</v>
      </c>
      <c r="C93">
        <v>7509</v>
      </c>
      <c r="D93">
        <v>7066</v>
      </c>
      <c r="E93">
        <v>11135</v>
      </c>
      <c r="F93">
        <v>3014</v>
      </c>
      <c r="G93">
        <v>2669</v>
      </c>
      <c r="H93">
        <v>12345</v>
      </c>
      <c r="I93">
        <v>6322</v>
      </c>
      <c r="J93">
        <v>9407</v>
      </c>
      <c r="K93">
        <v>3406</v>
      </c>
      <c r="L93">
        <v>1806</v>
      </c>
      <c r="N93">
        <f t="shared" si="24"/>
        <v>761</v>
      </c>
      <c r="O93">
        <f t="shared" si="15"/>
        <v>5767</v>
      </c>
      <c r="P93">
        <f t="shared" si="16"/>
        <v>5324</v>
      </c>
      <c r="Q93">
        <f t="shared" si="17"/>
        <v>9393</v>
      </c>
      <c r="R93">
        <f t="shared" si="18"/>
        <v>1272</v>
      </c>
      <c r="S93">
        <f t="shared" si="19"/>
        <v>927</v>
      </c>
      <c r="T93">
        <f t="shared" si="20"/>
        <v>10603</v>
      </c>
      <c r="U93">
        <f t="shared" si="21"/>
        <v>4580</v>
      </c>
      <c r="V93">
        <f t="shared" si="22"/>
        <v>7665</v>
      </c>
      <c r="W93">
        <f t="shared" si="23"/>
        <v>1664</v>
      </c>
    </row>
    <row r="94" spans="1:23" x14ac:dyDescent="0.2">
      <c r="A94" s="4" t="s">
        <v>39</v>
      </c>
      <c r="B94">
        <v>2639</v>
      </c>
      <c r="C94">
        <v>11615</v>
      </c>
      <c r="D94">
        <v>5121</v>
      </c>
      <c r="E94">
        <v>10277</v>
      </c>
      <c r="F94">
        <v>3363</v>
      </c>
      <c r="G94">
        <v>2699</v>
      </c>
      <c r="H94">
        <v>13283</v>
      </c>
      <c r="I94">
        <v>8198</v>
      </c>
      <c r="J94">
        <v>8972</v>
      </c>
      <c r="K94">
        <v>3392</v>
      </c>
      <c r="L94">
        <v>184</v>
      </c>
      <c r="N94">
        <f t="shared" si="24"/>
        <v>897</v>
      </c>
      <c r="O94">
        <f t="shared" si="15"/>
        <v>9873</v>
      </c>
      <c r="P94">
        <f t="shared" si="16"/>
        <v>3379</v>
      </c>
      <c r="Q94">
        <f t="shared" si="17"/>
        <v>8535</v>
      </c>
      <c r="R94">
        <f t="shared" si="18"/>
        <v>1621</v>
      </c>
      <c r="S94">
        <f t="shared" si="19"/>
        <v>957</v>
      </c>
      <c r="T94">
        <f t="shared" si="20"/>
        <v>11541</v>
      </c>
      <c r="U94">
        <f t="shared" si="21"/>
        <v>6456</v>
      </c>
      <c r="V94">
        <f t="shared" si="22"/>
        <v>7230</v>
      </c>
      <c r="W94">
        <f t="shared" si="23"/>
        <v>1650</v>
      </c>
    </row>
    <row r="95" spans="1:23" x14ac:dyDescent="0.2">
      <c r="A95" s="4" t="s">
        <v>40</v>
      </c>
      <c r="B95">
        <v>2292</v>
      </c>
      <c r="C95">
        <v>10151</v>
      </c>
      <c r="D95">
        <v>3893</v>
      </c>
      <c r="E95">
        <v>10004</v>
      </c>
      <c r="F95">
        <v>2980</v>
      </c>
      <c r="G95">
        <v>2761</v>
      </c>
      <c r="H95">
        <v>7949</v>
      </c>
      <c r="I95">
        <v>7318</v>
      </c>
      <c r="J95">
        <v>6165</v>
      </c>
      <c r="K95">
        <v>3319</v>
      </c>
      <c r="L95">
        <v>181</v>
      </c>
      <c r="N95">
        <f t="shared" si="24"/>
        <v>550</v>
      </c>
      <c r="O95">
        <f t="shared" si="15"/>
        <v>8409</v>
      </c>
      <c r="P95">
        <f t="shared" si="16"/>
        <v>2151</v>
      </c>
      <c r="Q95">
        <f t="shared" si="17"/>
        <v>8262</v>
      </c>
      <c r="R95">
        <f t="shared" si="18"/>
        <v>1238</v>
      </c>
      <c r="S95">
        <f t="shared" si="19"/>
        <v>1019</v>
      </c>
      <c r="T95">
        <f t="shared" si="20"/>
        <v>6207</v>
      </c>
      <c r="U95">
        <f t="shared" si="21"/>
        <v>5576</v>
      </c>
      <c r="V95">
        <f t="shared" si="22"/>
        <v>4423</v>
      </c>
      <c r="W95">
        <f t="shared" si="23"/>
        <v>1577</v>
      </c>
    </row>
    <row r="97" spans="1:12" x14ac:dyDescent="0.2">
      <c r="L97">
        <f>AVERAGE(L91:L93)</f>
        <v>1742</v>
      </c>
    </row>
    <row r="100" spans="1:12" x14ac:dyDescent="0.2">
      <c r="A100" t="s">
        <v>41</v>
      </c>
      <c r="B100" s="2" t="s">
        <v>61</v>
      </c>
    </row>
    <row r="105" spans="1:12" x14ac:dyDescent="0.2">
      <c r="A105" t="s">
        <v>62</v>
      </c>
    </row>
    <row r="106" spans="1:12" x14ac:dyDescent="0.2">
      <c r="A106" t="s">
        <v>22</v>
      </c>
      <c r="E106" t="s">
        <v>44</v>
      </c>
    </row>
    <row r="107" spans="1:12" x14ac:dyDescent="0.2">
      <c r="A107" t="s">
        <v>45</v>
      </c>
      <c r="E107">
        <v>488</v>
      </c>
      <c r="F107" t="s">
        <v>25</v>
      </c>
    </row>
    <row r="108" spans="1:12" x14ac:dyDescent="0.2">
      <c r="A108" t="s">
        <v>46</v>
      </c>
      <c r="E108">
        <v>520</v>
      </c>
      <c r="F108" t="s">
        <v>25</v>
      </c>
    </row>
    <row r="109" spans="1:12" x14ac:dyDescent="0.2">
      <c r="A109" t="s">
        <v>47</v>
      </c>
      <c r="E109">
        <v>9</v>
      </c>
      <c r="F109" t="s">
        <v>25</v>
      </c>
    </row>
    <row r="110" spans="1:12" x14ac:dyDescent="0.2">
      <c r="A110" t="s">
        <v>48</v>
      </c>
      <c r="E110">
        <v>20</v>
      </c>
      <c r="F110" t="s">
        <v>25</v>
      </c>
    </row>
    <row r="111" spans="1:12" x14ac:dyDescent="0.2">
      <c r="A111" t="s">
        <v>49</v>
      </c>
      <c r="E111">
        <v>100</v>
      </c>
      <c r="F111" t="s">
        <v>50</v>
      </c>
    </row>
    <row r="112" spans="1:12" x14ac:dyDescent="0.2">
      <c r="A112" t="s">
        <v>27</v>
      </c>
      <c r="E112">
        <v>25</v>
      </c>
    </row>
    <row r="113" spans="1:12" x14ac:dyDescent="0.2">
      <c r="A113" t="s">
        <v>51</v>
      </c>
      <c r="E113">
        <v>20</v>
      </c>
      <c r="F113" t="s">
        <v>52</v>
      </c>
    </row>
    <row r="114" spans="1:12" x14ac:dyDescent="0.2">
      <c r="A114" t="s">
        <v>53</v>
      </c>
      <c r="E114">
        <v>0</v>
      </c>
      <c r="F114" t="s">
        <v>52</v>
      </c>
    </row>
    <row r="115" spans="1:12" x14ac:dyDescent="0.2">
      <c r="A115" t="s">
        <v>28</v>
      </c>
      <c r="E115">
        <v>0</v>
      </c>
      <c r="F115" t="s">
        <v>29</v>
      </c>
    </row>
    <row r="116" spans="1:12" x14ac:dyDescent="0.2">
      <c r="A116" t="s">
        <v>54</v>
      </c>
      <c r="E116">
        <v>20000</v>
      </c>
      <c r="F116" t="s">
        <v>55</v>
      </c>
    </row>
    <row r="117" spans="1:12" x14ac:dyDescent="0.2">
      <c r="A117" t="s">
        <v>30</v>
      </c>
      <c r="E117" t="s">
        <v>31</v>
      </c>
    </row>
    <row r="118" spans="1:12" x14ac:dyDescent="0.2">
      <c r="A118" t="s">
        <v>32</v>
      </c>
      <c r="B118" s="2" t="s">
        <v>63</v>
      </c>
    </row>
    <row r="120" spans="1:12" x14ac:dyDescent="0.2">
      <c r="B120" t="s">
        <v>60</v>
      </c>
    </row>
    <row r="121" spans="1:12" x14ac:dyDescent="0.2">
      <c r="A121" s="4" t="s">
        <v>35</v>
      </c>
      <c r="B121" s="4">
        <v>2</v>
      </c>
      <c r="C121" s="4">
        <v>3</v>
      </c>
      <c r="D121" s="4">
        <v>4</v>
      </c>
      <c r="E121" s="4">
        <v>5</v>
      </c>
      <c r="F121" s="4">
        <v>6</v>
      </c>
      <c r="G121" s="4">
        <v>7</v>
      </c>
      <c r="H121" s="4">
        <v>8</v>
      </c>
      <c r="I121" s="4">
        <v>9</v>
      </c>
      <c r="J121" s="4">
        <v>10</v>
      </c>
      <c r="K121" s="4">
        <v>11</v>
      </c>
      <c r="L121" s="4">
        <v>12</v>
      </c>
    </row>
    <row r="122" spans="1:12" x14ac:dyDescent="0.2">
      <c r="A122" s="4" t="s">
        <v>36</v>
      </c>
      <c r="B122">
        <v>11425</v>
      </c>
      <c r="C122" s="5" t="s">
        <v>64</v>
      </c>
      <c r="D122">
        <v>28777</v>
      </c>
      <c r="E122">
        <v>36465</v>
      </c>
      <c r="F122">
        <v>16383</v>
      </c>
      <c r="G122">
        <v>13091</v>
      </c>
      <c r="H122">
        <v>60079</v>
      </c>
      <c r="I122">
        <v>30405</v>
      </c>
      <c r="J122">
        <v>47674</v>
      </c>
      <c r="K122">
        <v>16199</v>
      </c>
      <c r="L122">
        <v>8131</v>
      </c>
    </row>
    <row r="123" spans="1:12" x14ac:dyDescent="0.2">
      <c r="A123" s="4" t="s">
        <v>37</v>
      </c>
      <c r="B123">
        <v>11619</v>
      </c>
      <c r="C123">
        <v>49593</v>
      </c>
      <c r="D123">
        <v>33547</v>
      </c>
      <c r="E123">
        <v>23902</v>
      </c>
      <c r="F123">
        <v>15565</v>
      </c>
      <c r="G123">
        <v>11635</v>
      </c>
      <c r="H123">
        <v>50468</v>
      </c>
      <c r="I123">
        <v>34702</v>
      </c>
      <c r="J123">
        <v>46116</v>
      </c>
      <c r="K123">
        <v>13480</v>
      </c>
      <c r="L123">
        <v>8324</v>
      </c>
    </row>
    <row r="124" spans="1:12" x14ac:dyDescent="0.2">
      <c r="A124" s="4" t="s">
        <v>38</v>
      </c>
      <c r="B124">
        <v>12027</v>
      </c>
      <c r="C124">
        <v>35931</v>
      </c>
      <c r="D124">
        <v>33704</v>
      </c>
      <c r="E124">
        <v>52883</v>
      </c>
      <c r="F124">
        <v>14443</v>
      </c>
      <c r="G124">
        <v>12842</v>
      </c>
      <c r="H124">
        <v>58460</v>
      </c>
      <c r="I124">
        <v>30316</v>
      </c>
      <c r="J124">
        <v>44568</v>
      </c>
      <c r="K124">
        <v>16361</v>
      </c>
      <c r="L124">
        <v>8639</v>
      </c>
    </row>
    <row r="125" spans="1:12" x14ac:dyDescent="0.2">
      <c r="A125" s="4" t="s">
        <v>39</v>
      </c>
      <c r="B125">
        <v>12660</v>
      </c>
      <c r="C125">
        <v>55110</v>
      </c>
      <c r="D125">
        <v>24546</v>
      </c>
      <c r="E125">
        <v>49022</v>
      </c>
      <c r="F125">
        <v>16179</v>
      </c>
      <c r="G125">
        <v>13025</v>
      </c>
      <c r="H125">
        <v>62883</v>
      </c>
      <c r="I125">
        <v>39095</v>
      </c>
      <c r="J125">
        <v>42715</v>
      </c>
      <c r="K125">
        <v>16279</v>
      </c>
      <c r="L125">
        <v>877</v>
      </c>
    </row>
    <row r="126" spans="1:12" x14ac:dyDescent="0.2">
      <c r="A126" s="4" t="s">
        <v>40</v>
      </c>
      <c r="B126">
        <v>11042</v>
      </c>
      <c r="C126">
        <v>48548</v>
      </c>
      <c r="D126">
        <v>18780</v>
      </c>
      <c r="E126">
        <v>47836</v>
      </c>
      <c r="F126">
        <v>14276</v>
      </c>
      <c r="G126">
        <v>13207</v>
      </c>
      <c r="H126">
        <v>37935</v>
      </c>
      <c r="I126">
        <v>35013</v>
      </c>
      <c r="J126">
        <v>29505</v>
      </c>
      <c r="K126">
        <v>15887</v>
      </c>
      <c r="L126">
        <v>871</v>
      </c>
    </row>
    <row r="131" spans="1:2" x14ac:dyDescent="0.2">
      <c r="A131" t="s">
        <v>41</v>
      </c>
      <c r="B131" s="2" t="s">
        <v>65</v>
      </c>
    </row>
  </sheetData>
  <mergeCells count="4">
    <mergeCell ref="N67:Q67"/>
    <mergeCell ref="S67:V67"/>
    <mergeCell ref="N68:R68"/>
    <mergeCell ref="S68:W68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tet10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Yuanchi Ha</cp:lastModifiedBy>
  <dcterms:created xsi:type="dcterms:W3CDTF">2025-09-26T22:12:42Z</dcterms:created>
  <dcterms:modified xsi:type="dcterms:W3CDTF">2025-10-25T01:19:44Z</dcterms:modified>
</cp:coreProperties>
</file>