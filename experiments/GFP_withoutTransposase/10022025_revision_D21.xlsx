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 xmlns:mc="http://schemas.openxmlformats.org/markup-compatibility/2006">
    <mc:Choice Requires="x15">
      <x15ac:absPath xmlns:x15ac="http://schemas.microsoft.com/office/spreadsheetml/2010/11/ac" url="/Users/ychha/Desktop/Systems Biology/Mine/Plasmid-Transposon/Exp/tetA/Revision/"/>
    </mc:Choice>
  </mc:AlternateContent>
  <xr:revisionPtr revIDLastSave="0" documentId="13_ncr:1_{352617C6-F456-9D46-AB0E-8C3DC61780F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et10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5" i="2" l="1"/>
  <c r="V95" i="2"/>
  <c r="U95" i="2"/>
  <c r="T95" i="2"/>
  <c r="S95" i="2"/>
  <c r="R95" i="2"/>
  <c r="Q95" i="2"/>
  <c r="Q74" i="2" s="1"/>
  <c r="P95" i="2"/>
  <c r="O95" i="2"/>
  <c r="O74" i="2" s="1"/>
  <c r="W94" i="2"/>
  <c r="W73" i="2" s="1"/>
  <c r="V94" i="2"/>
  <c r="V73" i="2" s="1"/>
  <c r="U94" i="2"/>
  <c r="T94" i="2"/>
  <c r="T73" i="2" s="1"/>
  <c r="S94" i="2"/>
  <c r="S73" i="2" s="1"/>
  <c r="R94" i="2"/>
  <c r="R73" i="2" s="1"/>
  <c r="Q94" i="2"/>
  <c r="P94" i="2"/>
  <c r="O94" i="2"/>
  <c r="W93" i="2"/>
  <c r="V93" i="2"/>
  <c r="V72" i="2" s="1"/>
  <c r="U93" i="2"/>
  <c r="T93" i="2"/>
  <c r="S93" i="2"/>
  <c r="R93" i="2"/>
  <c r="Q93" i="2"/>
  <c r="Q72" i="2" s="1"/>
  <c r="P93" i="2"/>
  <c r="P72" i="2" s="1"/>
  <c r="O93" i="2"/>
  <c r="O72" i="2" s="1"/>
  <c r="W92" i="2"/>
  <c r="W71" i="2" s="1"/>
  <c r="V92" i="2"/>
  <c r="V71" i="2" s="1"/>
  <c r="U92" i="2"/>
  <c r="T92" i="2"/>
  <c r="S92" i="2"/>
  <c r="R92" i="2"/>
  <c r="Q92" i="2"/>
  <c r="P92" i="2"/>
  <c r="O92" i="2"/>
  <c r="W91" i="2"/>
  <c r="V91" i="2"/>
  <c r="U91" i="2"/>
  <c r="T91" i="2"/>
  <c r="T70" i="2" s="1"/>
  <c r="S91" i="2"/>
  <c r="R91" i="2"/>
  <c r="Q91" i="2"/>
  <c r="P91" i="2"/>
  <c r="O91" i="2"/>
  <c r="N95" i="2"/>
  <c r="N94" i="2"/>
  <c r="N93" i="2"/>
  <c r="N92" i="2"/>
  <c r="N91" i="2"/>
  <c r="L97" i="2"/>
  <c r="L35" i="2"/>
  <c r="S74" i="2"/>
  <c r="U73" i="2"/>
  <c r="U72" i="2"/>
  <c r="S72" i="2"/>
  <c r="R72" i="2"/>
  <c r="N72" i="2"/>
  <c r="O71" i="2"/>
  <c r="W70" i="2"/>
  <c r="U70" i="2"/>
  <c r="S70" i="2"/>
  <c r="R70" i="2"/>
  <c r="Q70" i="2"/>
  <c r="P70" i="2"/>
  <c r="R74" i="2"/>
  <c r="W72" i="2"/>
  <c r="Q71" i="2"/>
  <c r="P71" i="2"/>
  <c r="W33" i="2"/>
  <c r="W74" i="2" s="1"/>
  <c r="V33" i="2"/>
  <c r="V74" i="2" s="1"/>
  <c r="U33" i="2"/>
  <c r="U74" i="2" s="1"/>
  <c r="T33" i="2"/>
  <c r="T74" i="2" s="1"/>
  <c r="S33" i="2"/>
  <c r="R33" i="2"/>
  <c r="Q33" i="2"/>
  <c r="P33" i="2"/>
  <c r="P74" i="2" s="1"/>
  <c r="O33" i="2"/>
  <c r="N33" i="2"/>
  <c r="N74" i="2" s="1"/>
  <c r="W32" i="2"/>
  <c r="V32" i="2"/>
  <c r="U32" i="2"/>
  <c r="T32" i="2"/>
  <c r="S32" i="2"/>
  <c r="R32" i="2"/>
  <c r="Q32" i="2"/>
  <c r="P32" i="2"/>
  <c r="P73" i="2" s="1"/>
  <c r="O32" i="2"/>
  <c r="O73" i="2" s="1"/>
  <c r="N32" i="2"/>
  <c r="N73" i="2" s="1"/>
  <c r="W31" i="2"/>
  <c r="V31" i="2"/>
  <c r="U31" i="2"/>
  <c r="T31" i="2"/>
  <c r="T72" i="2" s="1"/>
  <c r="S31" i="2"/>
  <c r="R31" i="2"/>
  <c r="Q31" i="2"/>
  <c r="P31" i="2"/>
  <c r="O31" i="2"/>
  <c r="N31" i="2"/>
  <c r="W30" i="2"/>
  <c r="V30" i="2"/>
  <c r="U30" i="2"/>
  <c r="T30" i="2"/>
  <c r="S30" i="2"/>
  <c r="R30" i="2"/>
  <c r="R71" i="2" s="1"/>
  <c r="Q30" i="2"/>
  <c r="P30" i="2"/>
  <c r="O30" i="2"/>
  <c r="N30" i="2"/>
  <c r="W29" i="2"/>
  <c r="V29" i="2"/>
  <c r="V70" i="2" s="1"/>
  <c r="U29" i="2"/>
  <c r="T29" i="2"/>
  <c r="S29" i="2"/>
  <c r="R29" i="2"/>
  <c r="Q29" i="2"/>
  <c r="P29" i="2"/>
  <c r="O29" i="2"/>
  <c r="N29" i="2"/>
  <c r="N70" i="2" s="1"/>
  <c r="O70" i="2" l="1"/>
  <c r="P76" i="2"/>
  <c r="S71" i="2"/>
  <c r="S76" i="2" s="1"/>
  <c r="T71" i="2"/>
  <c r="T76" i="2" s="1"/>
  <c r="U71" i="2"/>
  <c r="U76" i="2" s="1"/>
  <c r="Q73" i="2"/>
  <c r="Q76" i="2" s="1"/>
  <c r="N71" i="2"/>
  <c r="R76" i="2"/>
  <c r="P84" i="2"/>
  <c r="P78" i="2"/>
  <c r="P87" i="2"/>
  <c r="N76" i="2"/>
  <c r="W76" i="2"/>
  <c r="O76" i="2"/>
  <c r="V76" i="2"/>
  <c r="Q78" i="2" l="1"/>
  <c r="Q84" i="2"/>
  <c r="Q87" i="2"/>
  <c r="U87" i="2"/>
  <c r="U84" i="2"/>
  <c r="U78" i="2"/>
  <c r="S84" i="2"/>
  <c r="S78" i="2"/>
  <c r="S87" i="2"/>
  <c r="T87" i="2"/>
  <c r="T78" i="2"/>
  <c r="T84" i="2"/>
  <c r="V87" i="2"/>
  <c r="V84" i="2"/>
  <c r="V78" i="2"/>
  <c r="O78" i="2"/>
  <c r="O84" i="2"/>
  <c r="O87" i="2"/>
  <c r="W87" i="2"/>
  <c r="W84" i="2"/>
  <c r="W78" i="2"/>
  <c r="N78" i="2"/>
  <c r="N87" i="2"/>
  <c r="N84" i="2"/>
  <c r="R84" i="2"/>
  <c r="R87" i="2"/>
  <c r="R7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V_5.23_05/17_InfiniteRX (May  9 2017/12.19.53)
MTP, V_5.23_05/17_InfiniteRX (May  9 2017/12.19.53)
HCP, V_5.23_05/17_InfiniteRX (May  9 2017/12.19.53)
MEM, V_3.00_09/11_MCR (Sep 27 2011/15.05.45)
MEX, V_3.00_09/11_MCR (Sep 27 2011/15.05.10)
ZSCAN, V_5.23_05/17_InfiniteRX (May  9 2017/12.19.53)
</t>
        </r>
      </text>
    </comment>
  </commentList>
</comments>
</file>

<file path=xl/sharedStrings.xml><?xml version="1.0" encoding="utf-8"?>
<sst xmlns="http://schemas.openxmlformats.org/spreadsheetml/2006/main" count="180" uniqueCount="80">
  <si>
    <t>Application: Tecan i-control</t>
  </si>
  <si>
    <t>Tecan i-control , 2.0.10.0</t>
  </si>
  <si>
    <t>Device: infinite 200Pro</t>
  </si>
  <si>
    <t>Serial number: 1705009483</t>
  </si>
  <si>
    <t>Serial number of connected stacker:</t>
  </si>
  <si>
    <t>Firmware: V_5.23_05/17_InfiniteRX (May  9 2017/12.19.53)</t>
  </si>
  <si>
    <t>MAI, V_5.23_05/17_InfiniteRX (May  9 2017/12.19.53)</t>
  </si>
  <si>
    <t>Date:</t>
  </si>
  <si>
    <t>Time:</t>
  </si>
  <si>
    <t>4:40:00 PM</t>
  </si>
  <si>
    <t>System</t>
  </si>
  <si>
    <t>TECAN-HP</t>
  </si>
  <si>
    <t>User</t>
  </si>
  <si>
    <t>Tecan-HP\Tecan</t>
  </si>
  <si>
    <t>Plate</t>
  </si>
  <si>
    <t>Corning 96 Flat Bottom Black Polystyrene Cat. No.: 3631 [COR96fb clear bottom.pdfx]</t>
  </si>
  <si>
    <t>Plate-ID (Stacker)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</si>
  <si>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</si>
  <si>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</si>
  <si>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</si>
  <si>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</si>
  <si>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</si>
  <si>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</si>
  <si>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</si>
  <si>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</si>
  <si>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</si>
  <si>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</si>
  <si>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</si>
  <si>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</si>
  <si>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</si>
  <si>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</si>
  <si>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B2-F12</t>
  </si>
  <si>
    <t>Start Time:</t>
  </si>
  <si>
    <t>10/2/2025 4:40:05 PM</t>
  </si>
  <si>
    <t>Temperature: 26.7 °C</t>
  </si>
  <si>
    <t>&lt;&gt;</t>
  </si>
  <si>
    <t>B</t>
  </si>
  <si>
    <t>C</t>
  </si>
  <si>
    <t>D</t>
  </si>
  <si>
    <t>E</t>
  </si>
  <si>
    <t>F</t>
  </si>
  <si>
    <t>End Time:</t>
  </si>
  <si>
    <t>10/2/2025 4:40:31 PM</t>
  </si>
  <si>
    <t>Label: gfp50</t>
  </si>
  <si>
    <t>Fluorescence Top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</si>
  <si>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</si>
  <si>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</si>
  <si>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</si>
  <si>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</si>
  <si>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</si>
  <si>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</si>
  <si>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</si>
  <si>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</si>
  <si>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</si>
  <si>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Z-Position (Manual)</t>
  </si>
  <si>
    <t>µm</t>
  </si>
  <si>
    <t>10/2/2025 4:40:36 PM</t>
  </si>
  <si>
    <t>Temperature: 26.8 °C</t>
  </si>
  <si>
    <t>10/2/2025 4:41:24 PM</t>
  </si>
  <si>
    <t>Label: gfp 80</t>
  </si>
  <si>
    <t>10/2/2025 4:41:32 PM</t>
  </si>
  <si>
    <t>10/2/2025 4:42:20 PM</t>
  </si>
  <si>
    <t>Label: gfp100</t>
  </si>
  <si>
    <t>10/2/2025 4:42:27 PM</t>
  </si>
  <si>
    <t>OVER</t>
  </si>
  <si>
    <t>10/2/2025 4:43:16 PM</t>
  </si>
  <si>
    <t>T-TE+</t>
  </si>
  <si>
    <t>T+TE+</t>
  </si>
  <si>
    <t>Kan+</t>
  </si>
  <si>
    <t>Kan-</t>
  </si>
  <si>
    <t>p15A</t>
  </si>
  <si>
    <t>pBR</t>
  </si>
  <si>
    <t>CloDF</t>
  </si>
  <si>
    <t>pUC</t>
  </si>
  <si>
    <t>p15A,++</t>
  </si>
  <si>
    <t>D12</t>
  </si>
  <si>
    <t>D21/D1</t>
  </si>
  <si>
    <t>D21/D12</t>
  </si>
  <si>
    <t>D19</t>
  </si>
  <si>
    <t>D21/D19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</si>
</sst>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7030A0"/>
      <name val="Calibri"/>
      <family val="2"/>
      <scheme val="minor"/>
    </font>
    <font>
      <sz val="11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9" borderId="0" xfId="0" applyFont="1" applyFill="1"/>
    <xf numFmtId="0" fontId="1" fillId="2" borderId="0" xfId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/>
    <xf numFmtId="0" fontId="5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 vertical="center"/>
    </xf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1"/>
  <sheetViews>
    <sheetView tabSelected="1" topLeftCell="G64" zoomScale="142" workbookViewId="0">
      <selection activeCell="K79" sqref="K79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45932</v>
      </c>
    </row>
    <row r="6" spans="1:12" x14ac:dyDescent="0.2">
      <c r="A6" t="s">
        <v>8</v>
      </c>
      <c r="B6" s="2" t="s">
        <v>9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3" t="s">
        <v>17</v>
      </c>
      <c r="B14" s="3"/>
      <c r="C14" s="3"/>
      <c r="D14" s="3"/>
      <c r="E14" s="3">
        <v>5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">
      <c r="A15" s="3" t="s">
        <v>19</v>
      </c>
      <c r="B15" s="3"/>
      <c r="C15" s="3"/>
      <c r="D15" s="3"/>
      <c r="E15" s="3">
        <v>2</v>
      </c>
      <c r="F15" s="3" t="s">
        <v>20</v>
      </c>
      <c r="G15" s="3"/>
      <c r="H15" s="3"/>
      <c r="I15" s="3"/>
      <c r="J15" s="3"/>
      <c r="K15" s="3"/>
      <c r="L15" s="3"/>
    </row>
    <row r="18" spans="1:23" x14ac:dyDescent="0.2">
      <c r="A18" t="s">
        <v>21</v>
      </c>
    </row>
    <row r="19" spans="1:23" x14ac:dyDescent="0.2">
      <c r="A19" t="s">
        <v>22</v>
      </c>
      <c r="E19" t="s">
        <v>23</v>
      </c>
    </row>
    <row r="20" spans="1:23" x14ac:dyDescent="0.2">
      <c r="A20" t="s">
        <v>24</v>
      </c>
      <c r="E20">
        <v>600</v>
      </c>
      <c r="F20" t="s">
        <v>25</v>
      </c>
    </row>
    <row r="21" spans="1:23" x14ac:dyDescent="0.2">
      <c r="A21" t="s">
        <v>26</v>
      </c>
      <c r="E21">
        <v>9</v>
      </c>
      <c r="F21" t="s">
        <v>25</v>
      </c>
    </row>
    <row r="22" spans="1:23" x14ac:dyDescent="0.2">
      <c r="A22" t="s">
        <v>27</v>
      </c>
      <c r="E22">
        <v>10</v>
      </c>
    </row>
    <row r="23" spans="1:23" x14ac:dyDescent="0.2">
      <c r="A23" t="s">
        <v>28</v>
      </c>
      <c r="E23">
        <v>0</v>
      </c>
      <c r="F23" t="s">
        <v>29</v>
      </c>
    </row>
    <row r="24" spans="1:23" x14ac:dyDescent="0.2">
      <c r="A24" t="s">
        <v>30</v>
      </c>
      <c r="E24" t="s">
        <v>31</v>
      </c>
    </row>
    <row r="25" spans="1:23" x14ac:dyDescent="0.2">
      <c r="A25" t="s">
        <v>32</v>
      </c>
      <c r="B25" s="2" t="s">
        <v>33</v>
      </c>
    </row>
    <row r="27" spans="1:23" x14ac:dyDescent="0.2">
      <c r="B27" t="s">
        <v>34</v>
      </c>
    </row>
    <row r="28" spans="1:23" x14ac:dyDescent="0.2">
      <c r="A28" s="4" t="s">
        <v>35</v>
      </c>
      <c r="B28" s="4">
        <v>2</v>
      </c>
      <c r="C28" s="4">
        <v>3</v>
      </c>
      <c r="D28" s="4">
        <v>4</v>
      </c>
      <c r="E28" s="4">
        <v>5</v>
      </c>
      <c r="F28" s="4">
        <v>6</v>
      </c>
      <c r="G28" s="4">
        <v>7</v>
      </c>
      <c r="H28" s="4">
        <v>8</v>
      </c>
      <c r="I28" s="4">
        <v>9</v>
      </c>
      <c r="J28" s="4">
        <v>10</v>
      </c>
      <c r="K28" s="4">
        <v>11</v>
      </c>
      <c r="L28" s="4">
        <v>12</v>
      </c>
    </row>
    <row r="29" spans="1:23" x14ac:dyDescent="0.2">
      <c r="A29" s="4" t="s">
        <v>36</v>
      </c>
      <c r="B29">
        <v>0.93040001392364502</v>
      </c>
      <c r="C29">
        <v>1.1365000009536743</v>
      </c>
      <c r="D29">
        <v>0.77020001411437988</v>
      </c>
      <c r="E29">
        <v>1.0540000200271606</v>
      </c>
      <c r="F29">
        <v>0.84769999980926514</v>
      </c>
      <c r="G29">
        <v>0.99150002002716064</v>
      </c>
      <c r="H29">
        <v>1.1182999610900879</v>
      </c>
      <c r="I29">
        <v>0.93779999017715454</v>
      </c>
      <c r="J29">
        <v>1.0372999906539917</v>
      </c>
      <c r="K29">
        <v>0.73580002784729004</v>
      </c>
      <c r="L29">
        <v>4.14000004529953E-2</v>
      </c>
      <c r="N29">
        <f t="shared" ref="N29:W33" si="0">B29-0.041</f>
        <v>0.88940001392364498</v>
      </c>
      <c r="O29">
        <f t="shared" si="0"/>
        <v>1.0955000009536744</v>
      </c>
      <c r="P29">
        <f t="shared" si="0"/>
        <v>0.72920001411437985</v>
      </c>
      <c r="Q29">
        <f t="shared" si="0"/>
        <v>1.0130000200271607</v>
      </c>
      <c r="R29">
        <f t="shared" si="0"/>
        <v>0.8066999998092651</v>
      </c>
      <c r="S29">
        <f t="shared" si="0"/>
        <v>0.95050002002716061</v>
      </c>
      <c r="T29">
        <f t="shared" si="0"/>
        <v>1.077299961090088</v>
      </c>
      <c r="U29">
        <f t="shared" si="0"/>
        <v>0.8967999901771545</v>
      </c>
      <c r="V29">
        <f t="shared" si="0"/>
        <v>0.99629999065399166</v>
      </c>
      <c r="W29">
        <f t="shared" si="0"/>
        <v>0.69480002784729</v>
      </c>
    </row>
    <row r="30" spans="1:23" x14ac:dyDescent="0.2">
      <c r="A30" s="4" t="s">
        <v>37</v>
      </c>
      <c r="B30">
        <v>1.0806000232696533</v>
      </c>
      <c r="C30">
        <v>1.094499945640564</v>
      </c>
      <c r="D30">
        <v>0.94569998979568481</v>
      </c>
      <c r="E30">
        <v>0.89079999923706055</v>
      </c>
      <c r="F30">
        <v>0.82719999551773071</v>
      </c>
      <c r="G30">
        <v>0.75639998912811279</v>
      </c>
      <c r="H30">
        <v>0.95539999008178711</v>
      </c>
      <c r="I30">
        <v>0.91360002756118774</v>
      </c>
      <c r="J30">
        <v>0.86570000648498535</v>
      </c>
      <c r="K30">
        <v>0.71210002899169922</v>
      </c>
      <c r="L30">
        <v>4.1499998420476913E-2</v>
      </c>
      <c r="N30">
        <f t="shared" si="0"/>
        <v>1.0396000232696534</v>
      </c>
      <c r="O30">
        <f t="shared" si="0"/>
        <v>1.053499945640564</v>
      </c>
      <c r="P30">
        <f t="shared" si="0"/>
        <v>0.90469998979568478</v>
      </c>
      <c r="Q30">
        <f t="shared" si="0"/>
        <v>0.84979999923706051</v>
      </c>
      <c r="R30">
        <f t="shared" si="0"/>
        <v>0.78619999551773068</v>
      </c>
      <c r="S30">
        <f t="shared" si="0"/>
        <v>0.71539998912811276</v>
      </c>
      <c r="T30">
        <f t="shared" si="0"/>
        <v>0.91439999008178707</v>
      </c>
      <c r="U30">
        <f t="shared" si="0"/>
        <v>0.87260002756118771</v>
      </c>
      <c r="V30">
        <f t="shared" si="0"/>
        <v>0.82470000648498532</v>
      </c>
      <c r="W30">
        <f t="shared" si="0"/>
        <v>0.67110002899169918</v>
      </c>
    </row>
    <row r="31" spans="1:23" x14ac:dyDescent="0.2">
      <c r="A31" s="4" t="s">
        <v>38</v>
      </c>
      <c r="B31">
        <v>0.97039997577667236</v>
      </c>
      <c r="C31">
        <v>0.97649997472763062</v>
      </c>
      <c r="D31">
        <v>0.91619998216629028</v>
      </c>
      <c r="E31">
        <v>0.76959997415542603</v>
      </c>
      <c r="F31">
        <v>0.78350001573562622</v>
      </c>
      <c r="G31">
        <v>0.95349997282028198</v>
      </c>
      <c r="H31">
        <v>1.069100022315979</v>
      </c>
      <c r="I31">
        <v>0.89829999208450317</v>
      </c>
      <c r="J31">
        <v>0.77920001745223999</v>
      </c>
      <c r="K31">
        <v>0.79720002412796021</v>
      </c>
      <c r="L31">
        <v>4.1200000792741776E-2</v>
      </c>
      <c r="N31">
        <f t="shared" si="0"/>
        <v>0.92939997577667233</v>
      </c>
      <c r="O31">
        <f t="shared" si="0"/>
        <v>0.93549997472763058</v>
      </c>
      <c r="P31">
        <f t="shared" si="0"/>
        <v>0.87519998216629025</v>
      </c>
      <c r="Q31">
        <f t="shared" si="0"/>
        <v>0.72859997415542599</v>
      </c>
      <c r="R31">
        <f t="shared" si="0"/>
        <v>0.74250001573562618</v>
      </c>
      <c r="S31">
        <f t="shared" si="0"/>
        <v>0.91249997282028195</v>
      </c>
      <c r="T31">
        <f t="shared" si="0"/>
        <v>1.0281000223159791</v>
      </c>
      <c r="U31">
        <f t="shared" si="0"/>
        <v>0.85729999208450314</v>
      </c>
      <c r="V31">
        <f t="shared" si="0"/>
        <v>0.73820001745223995</v>
      </c>
      <c r="W31">
        <f t="shared" si="0"/>
        <v>0.75620002412796017</v>
      </c>
    </row>
    <row r="32" spans="1:23" x14ac:dyDescent="0.2">
      <c r="A32" s="4" t="s">
        <v>39</v>
      </c>
      <c r="B32">
        <v>1.0252000093460083</v>
      </c>
      <c r="C32">
        <v>1.0263999700546265</v>
      </c>
      <c r="D32">
        <v>0.98170000314712524</v>
      </c>
      <c r="E32">
        <v>0.94559997320175171</v>
      </c>
      <c r="F32">
        <v>0.84769999980926514</v>
      </c>
      <c r="G32">
        <v>0.97689998149871826</v>
      </c>
      <c r="H32">
        <v>1.1121000051498413</v>
      </c>
      <c r="I32">
        <v>0.99639999866485596</v>
      </c>
      <c r="J32">
        <v>0.8783000111579895</v>
      </c>
      <c r="K32">
        <v>0.84539997577667236</v>
      </c>
      <c r="L32">
        <v>4.5099999755620956E-2</v>
      </c>
      <c r="N32">
        <f t="shared" si="0"/>
        <v>0.98420000934600826</v>
      </c>
      <c r="O32">
        <f t="shared" si="0"/>
        <v>0.98539997005462643</v>
      </c>
      <c r="P32">
        <f t="shared" si="0"/>
        <v>0.94070000314712521</v>
      </c>
      <c r="Q32">
        <f t="shared" si="0"/>
        <v>0.90459997320175167</v>
      </c>
      <c r="R32">
        <f t="shared" si="0"/>
        <v>0.8066999998092651</v>
      </c>
      <c r="S32">
        <f t="shared" si="0"/>
        <v>0.93589998149871823</v>
      </c>
      <c r="T32">
        <f t="shared" si="0"/>
        <v>1.0711000051498414</v>
      </c>
      <c r="U32">
        <f t="shared" si="0"/>
        <v>0.95539999866485592</v>
      </c>
      <c r="V32">
        <f t="shared" si="0"/>
        <v>0.83730001115798947</v>
      </c>
      <c r="W32">
        <f t="shared" si="0"/>
        <v>0.80439997577667233</v>
      </c>
    </row>
    <row r="33" spans="1:23" x14ac:dyDescent="0.2">
      <c r="A33" s="4" t="s">
        <v>40</v>
      </c>
      <c r="B33">
        <v>1.0053000450134277</v>
      </c>
      <c r="C33">
        <v>0.982200026512146</v>
      </c>
      <c r="D33">
        <v>0.94739997386932373</v>
      </c>
      <c r="E33">
        <v>0.8158000111579895</v>
      </c>
      <c r="F33">
        <v>0.92100000381469727</v>
      </c>
      <c r="G33">
        <v>1.0104999542236328</v>
      </c>
      <c r="H33">
        <v>0.85009998083114624</v>
      </c>
      <c r="I33">
        <v>0.95719999074935913</v>
      </c>
      <c r="J33">
        <v>0.74730002880096436</v>
      </c>
      <c r="K33">
        <v>0.90759998559951782</v>
      </c>
      <c r="L33">
        <v>4.4599998742341995E-2</v>
      </c>
      <c r="N33">
        <f t="shared" si="0"/>
        <v>0.9643000450134277</v>
      </c>
      <c r="O33">
        <f t="shared" si="0"/>
        <v>0.94120002651214596</v>
      </c>
      <c r="P33">
        <f t="shared" si="0"/>
        <v>0.90639997386932369</v>
      </c>
      <c r="Q33">
        <f t="shared" si="0"/>
        <v>0.77480001115798947</v>
      </c>
      <c r="R33">
        <f t="shared" si="0"/>
        <v>0.88000000381469723</v>
      </c>
      <c r="S33">
        <f t="shared" si="0"/>
        <v>0.96949995422363278</v>
      </c>
      <c r="T33">
        <f t="shared" si="0"/>
        <v>0.8090999808311462</v>
      </c>
      <c r="U33">
        <f t="shared" si="0"/>
        <v>0.91619999074935909</v>
      </c>
      <c r="V33">
        <f t="shared" si="0"/>
        <v>0.70630002880096432</v>
      </c>
      <c r="W33">
        <f t="shared" si="0"/>
        <v>0.86659998559951779</v>
      </c>
    </row>
    <row r="35" spans="1:23" x14ac:dyDescent="0.2">
      <c r="L35">
        <f>AVERAGE(L29:L31)</f>
        <v>4.1366666555404663E-2</v>
      </c>
    </row>
    <row r="38" spans="1:23" x14ac:dyDescent="0.2">
      <c r="A38" t="s">
        <v>41</v>
      </c>
      <c r="B38" s="2" t="s">
        <v>42</v>
      </c>
    </row>
    <row r="43" spans="1:23" x14ac:dyDescent="0.2">
      <c r="A43" t="s">
        <v>43</v>
      </c>
    </row>
    <row r="44" spans="1:23" x14ac:dyDescent="0.2">
      <c r="A44" t="s">
        <v>22</v>
      </c>
      <c r="E44" t="s">
        <v>44</v>
      </c>
    </row>
    <row r="45" spans="1:23" x14ac:dyDescent="0.2">
      <c r="A45" t="s">
        <v>45</v>
      </c>
      <c r="E45">
        <v>488</v>
      </c>
      <c r="F45" t="s">
        <v>25</v>
      </c>
    </row>
    <row r="46" spans="1:23" x14ac:dyDescent="0.2">
      <c r="A46" t="s">
        <v>46</v>
      </c>
      <c r="E46">
        <v>520</v>
      </c>
      <c r="F46" t="s">
        <v>25</v>
      </c>
    </row>
    <row r="47" spans="1:23" x14ac:dyDescent="0.2">
      <c r="A47" t="s">
        <v>47</v>
      </c>
      <c r="E47">
        <v>9</v>
      </c>
      <c r="F47" t="s">
        <v>25</v>
      </c>
    </row>
    <row r="48" spans="1:23" x14ac:dyDescent="0.2">
      <c r="A48" t="s">
        <v>48</v>
      </c>
      <c r="E48">
        <v>20</v>
      </c>
      <c r="F48" t="s">
        <v>25</v>
      </c>
    </row>
    <row r="49" spans="1:12" x14ac:dyDescent="0.2">
      <c r="A49" t="s">
        <v>49</v>
      </c>
      <c r="E49">
        <v>50</v>
      </c>
      <c r="F49" t="s">
        <v>50</v>
      </c>
    </row>
    <row r="50" spans="1:12" x14ac:dyDescent="0.2">
      <c r="A50" t="s">
        <v>27</v>
      </c>
      <c r="E50">
        <v>25</v>
      </c>
    </row>
    <row r="51" spans="1:12" x14ac:dyDescent="0.2">
      <c r="A51" t="s">
        <v>51</v>
      </c>
      <c r="E51">
        <v>20</v>
      </c>
      <c r="F51" t="s">
        <v>52</v>
      </c>
    </row>
    <row r="52" spans="1:12" x14ac:dyDescent="0.2">
      <c r="A52" t="s">
        <v>53</v>
      </c>
      <c r="E52">
        <v>0</v>
      </c>
      <c r="F52" t="s">
        <v>52</v>
      </c>
    </row>
    <row r="53" spans="1:12" x14ac:dyDescent="0.2">
      <c r="A53" t="s">
        <v>28</v>
      </c>
      <c r="E53">
        <v>0</v>
      </c>
      <c r="F53" t="s">
        <v>29</v>
      </c>
    </row>
    <row r="54" spans="1:12" x14ac:dyDescent="0.2">
      <c r="A54" t="s">
        <v>54</v>
      </c>
      <c r="E54">
        <v>20000</v>
      </c>
      <c r="F54" t="s">
        <v>55</v>
      </c>
    </row>
    <row r="55" spans="1:12" x14ac:dyDescent="0.2">
      <c r="A55" t="s">
        <v>30</v>
      </c>
      <c r="E55" t="s">
        <v>31</v>
      </c>
    </row>
    <row r="56" spans="1:12" x14ac:dyDescent="0.2">
      <c r="A56" t="s">
        <v>32</v>
      </c>
      <c r="B56" s="2" t="s">
        <v>56</v>
      </c>
    </row>
    <row r="58" spans="1:12" x14ac:dyDescent="0.2">
      <c r="B58" t="s">
        <v>57</v>
      </c>
    </row>
    <row r="59" spans="1:12" x14ac:dyDescent="0.2">
      <c r="A59" s="4" t="s">
        <v>35</v>
      </c>
      <c r="B59" s="4">
        <v>2</v>
      </c>
      <c r="C59" s="4">
        <v>3</v>
      </c>
      <c r="D59" s="4">
        <v>4</v>
      </c>
      <c r="E59" s="4">
        <v>5</v>
      </c>
      <c r="F59" s="4">
        <v>6</v>
      </c>
      <c r="G59" s="4">
        <v>7</v>
      </c>
      <c r="H59" s="4">
        <v>8</v>
      </c>
      <c r="I59" s="4">
        <v>9</v>
      </c>
      <c r="J59" s="4">
        <v>10</v>
      </c>
      <c r="K59" s="4">
        <v>11</v>
      </c>
      <c r="L59" s="4">
        <v>12</v>
      </c>
    </row>
    <row r="60" spans="1:12" x14ac:dyDescent="0.2">
      <c r="A60" s="4" t="s">
        <v>36</v>
      </c>
      <c r="B60">
        <v>105</v>
      </c>
      <c r="C60">
        <v>527</v>
      </c>
      <c r="D60">
        <v>199</v>
      </c>
      <c r="E60">
        <v>490</v>
      </c>
      <c r="F60">
        <v>140</v>
      </c>
      <c r="G60">
        <v>119</v>
      </c>
      <c r="H60">
        <v>566</v>
      </c>
      <c r="I60">
        <v>330</v>
      </c>
      <c r="J60">
        <v>516</v>
      </c>
      <c r="K60">
        <v>124</v>
      </c>
      <c r="L60">
        <v>77</v>
      </c>
    </row>
    <row r="61" spans="1:12" x14ac:dyDescent="0.2">
      <c r="A61" s="4" t="s">
        <v>37</v>
      </c>
      <c r="B61">
        <v>120</v>
      </c>
      <c r="C61">
        <v>521</v>
      </c>
      <c r="D61">
        <v>249</v>
      </c>
      <c r="E61">
        <v>652</v>
      </c>
      <c r="F61">
        <v>139</v>
      </c>
      <c r="G61">
        <v>103</v>
      </c>
      <c r="H61">
        <v>469</v>
      </c>
      <c r="I61">
        <v>282</v>
      </c>
      <c r="J61">
        <v>162</v>
      </c>
      <c r="K61">
        <v>122</v>
      </c>
      <c r="L61">
        <v>78</v>
      </c>
    </row>
    <row r="62" spans="1:12" x14ac:dyDescent="0.2">
      <c r="A62" s="4" t="s">
        <v>38</v>
      </c>
      <c r="B62">
        <v>110</v>
      </c>
      <c r="C62">
        <v>462</v>
      </c>
      <c r="D62">
        <v>229</v>
      </c>
      <c r="E62">
        <v>420</v>
      </c>
      <c r="F62">
        <v>132</v>
      </c>
      <c r="G62">
        <v>120</v>
      </c>
      <c r="H62">
        <v>535</v>
      </c>
      <c r="I62">
        <v>270</v>
      </c>
      <c r="J62">
        <v>376</v>
      </c>
      <c r="K62">
        <v>132</v>
      </c>
      <c r="L62">
        <v>75</v>
      </c>
    </row>
    <row r="63" spans="1:12" x14ac:dyDescent="0.2">
      <c r="A63" s="4" t="s">
        <v>39</v>
      </c>
      <c r="B63">
        <v>118</v>
      </c>
      <c r="C63">
        <v>465</v>
      </c>
      <c r="D63">
        <v>248</v>
      </c>
      <c r="E63">
        <v>491</v>
      </c>
      <c r="F63">
        <v>139</v>
      </c>
      <c r="G63">
        <v>121</v>
      </c>
      <c r="H63">
        <v>507</v>
      </c>
      <c r="I63">
        <v>345</v>
      </c>
      <c r="J63">
        <v>460</v>
      </c>
      <c r="K63">
        <v>145</v>
      </c>
      <c r="L63">
        <v>7</v>
      </c>
    </row>
    <row r="64" spans="1:12" x14ac:dyDescent="0.2">
      <c r="A64" s="4" t="s">
        <v>40</v>
      </c>
      <c r="B64">
        <v>119</v>
      </c>
      <c r="C64">
        <v>438</v>
      </c>
      <c r="D64">
        <v>239</v>
      </c>
      <c r="E64">
        <v>698</v>
      </c>
      <c r="F64">
        <v>142</v>
      </c>
      <c r="G64">
        <v>124</v>
      </c>
      <c r="H64">
        <v>404</v>
      </c>
      <c r="I64">
        <v>317</v>
      </c>
      <c r="J64">
        <v>401</v>
      </c>
      <c r="K64">
        <v>139</v>
      </c>
      <c r="L64">
        <v>7</v>
      </c>
    </row>
    <row r="67" spans="1:23" x14ac:dyDescent="0.2">
      <c r="N67" s="19" t="s">
        <v>66</v>
      </c>
      <c r="O67" s="19"/>
      <c r="P67" s="19"/>
      <c r="Q67" s="19"/>
      <c r="R67" t="s">
        <v>67</v>
      </c>
      <c r="S67" s="19" t="s">
        <v>66</v>
      </c>
      <c r="T67" s="19"/>
      <c r="U67" s="19"/>
      <c r="V67" s="19"/>
      <c r="W67" t="s">
        <v>67</v>
      </c>
    </row>
    <row r="68" spans="1:23" x14ac:dyDescent="0.2">
      <c r="N68" s="19" t="s">
        <v>68</v>
      </c>
      <c r="O68" s="19"/>
      <c r="P68" s="19"/>
      <c r="Q68" s="19"/>
      <c r="R68" s="19"/>
      <c r="S68" s="19" t="s">
        <v>69</v>
      </c>
      <c r="T68" s="19"/>
      <c r="U68" s="19"/>
      <c r="V68" s="19"/>
      <c r="W68" s="19"/>
    </row>
    <row r="69" spans="1:23" ht="16" thickBot="1" x14ac:dyDescent="0.25">
      <c r="A69" t="s">
        <v>41</v>
      </c>
      <c r="B69" s="2" t="s">
        <v>58</v>
      </c>
      <c r="N69" t="s">
        <v>70</v>
      </c>
      <c r="O69" t="s">
        <v>71</v>
      </c>
      <c r="P69" t="s">
        <v>72</v>
      </c>
      <c r="Q69" t="s">
        <v>73</v>
      </c>
      <c r="R69" t="s">
        <v>74</v>
      </c>
      <c r="S69" t="s">
        <v>70</v>
      </c>
      <c r="T69" t="s">
        <v>71</v>
      </c>
      <c r="U69" t="s">
        <v>72</v>
      </c>
      <c r="V69" t="s">
        <v>73</v>
      </c>
      <c r="W69" t="s">
        <v>74</v>
      </c>
    </row>
    <row r="70" spans="1:23" x14ac:dyDescent="0.2">
      <c r="N70" s="6">
        <f>N91/N29</f>
        <v>927.59162028844571</v>
      </c>
      <c r="O70" s="7">
        <f t="shared" ref="O70:W70" si="1">O91/O29</f>
        <v>11619.351883997189</v>
      </c>
      <c r="P70" s="7">
        <f t="shared" si="1"/>
        <v>4825.8364397782661</v>
      </c>
      <c r="Q70" s="7">
        <f t="shared" si="1"/>
        <v>11589.338369100156</v>
      </c>
      <c r="R70" s="8">
        <f t="shared" si="1"/>
        <v>2267.2616839375801</v>
      </c>
      <c r="S70" s="6">
        <f t="shared" si="1"/>
        <v>1309.8369003342304</v>
      </c>
      <c r="T70" s="7">
        <f t="shared" si="1"/>
        <v>12886.847211942904</v>
      </c>
      <c r="U70" s="7">
        <f t="shared" si="1"/>
        <v>8017.3952706887103</v>
      </c>
      <c r="V70" s="7">
        <f t="shared" si="1"/>
        <v>12453.076499434464</v>
      </c>
      <c r="W70" s="8">
        <f t="shared" si="1"/>
        <v>1935.8087882742823</v>
      </c>
    </row>
    <row r="71" spans="1:23" x14ac:dyDescent="0.2">
      <c r="N71" s="9">
        <f t="shared" ref="N71:W74" si="2">N92/N30</f>
        <v>1177.375887459476</v>
      </c>
      <c r="O71">
        <f t="shared" si="2"/>
        <v>11912.672660243157</v>
      </c>
      <c r="P71">
        <f t="shared" si="2"/>
        <v>5395.1586769690502</v>
      </c>
      <c r="Q71">
        <f t="shared" si="2"/>
        <v>19138.620869147577</v>
      </c>
      <c r="R71" s="10">
        <f t="shared" si="2"/>
        <v>2300.9412494447192</v>
      </c>
      <c r="S71" s="9">
        <f t="shared" si="2"/>
        <v>1116.8577189577177</v>
      </c>
      <c r="T71">
        <f t="shared" si="2"/>
        <v>12227.690421343872</v>
      </c>
      <c r="U71">
        <f t="shared" si="2"/>
        <v>6699.5184682022855</v>
      </c>
      <c r="V71">
        <f t="shared" si="2"/>
        <v>2953.8013590937812</v>
      </c>
      <c r="W71" s="10">
        <f t="shared" si="2"/>
        <v>1935.6279896928261</v>
      </c>
    </row>
    <row r="72" spans="1:23" x14ac:dyDescent="0.2">
      <c r="N72" s="9">
        <f t="shared" si="2"/>
        <v>1035.0764203496828</v>
      </c>
      <c r="O72">
        <f t="shared" si="2"/>
        <v>11664.350929754983</v>
      </c>
      <c r="P72">
        <f t="shared" si="2"/>
        <v>4981.7185658621147</v>
      </c>
      <c r="Q72">
        <f t="shared" si="2"/>
        <v>13329.673818967529</v>
      </c>
      <c r="R72" s="10">
        <f t="shared" si="2"/>
        <v>2080.8080367100101</v>
      </c>
      <c r="S72" s="9">
        <f t="shared" si="2"/>
        <v>1366.5753831705574</v>
      </c>
      <c r="T72">
        <f t="shared" si="2"/>
        <v>12604.804706459918</v>
      </c>
      <c r="U72">
        <f t="shared" si="2"/>
        <v>6406.1589300220821</v>
      </c>
      <c r="V72">
        <f t="shared" si="2"/>
        <v>11457.599295636992</v>
      </c>
      <c r="W72" s="10">
        <f t="shared" si="2"/>
        <v>2096.0062806501505</v>
      </c>
    </row>
    <row r="73" spans="1:23" x14ac:dyDescent="0.2">
      <c r="N73" s="9">
        <f t="shared" si="2"/>
        <v>1168.4616836817186</v>
      </c>
      <c r="O73">
        <f t="shared" si="2"/>
        <v>11139.639063913795</v>
      </c>
      <c r="P73">
        <f t="shared" si="2"/>
        <v>5111.0874709416048</v>
      </c>
      <c r="Q73">
        <f t="shared" si="2"/>
        <v>12904.046369451513</v>
      </c>
      <c r="R73" s="10">
        <f t="shared" si="2"/>
        <v>2200.3223012516155</v>
      </c>
      <c r="S73" s="9">
        <f t="shared" si="2"/>
        <v>1336.6812957904876</v>
      </c>
      <c r="T73">
        <f t="shared" si="2"/>
        <v>11288.395053558543</v>
      </c>
      <c r="U73">
        <f t="shared" si="2"/>
        <v>7905.5892930239697</v>
      </c>
      <c r="V73">
        <f t="shared" si="2"/>
        <v>12842.469672403988</v>
      </c>
      <c r="W73" s="10">
        <f t="shared" si="2"/>
        <v>2369.4679977578317</v>
      </c>
    </row>
    <row r="74" spans="1:23" ht="16" thickBot="1" x14ac:dyDescent="0.25">
      <c r="A74" t="s">
        <v>59</v>
      </c>
      <c r="N74" s="11">
        <f t="shared" si="2"/>
        <v>1238.2038206618292</v>
      </c>
      <c r="O74" s="12">
        <f t="shared" si="2"/>
        <v>10854.228338537096</v>
      </c>
      <c r="P74" s="12">
        <f t="shared" si="2"/>
        <v>5056.2666947525022</v>
      </c>
      <c r="Q74" s="12">
        <f t="shared" si="2"/>
        <v>22669.075564092273</v>
      </c>
      <c r="R74" s="13">
        <f t="shared" si="2"/>
        <v>2077.2727182679928</v>
      </c>
      <c r="S74" s="11">
        <f t="shared" si="2"/>
        <v>1370.8097604442403</v>
      </c>
      <c r="T74" s="12">
        <f t="shared" si="2"/>
        <v>11436.163909551544</v>
      </c>
      <c r="U74" s="12">
        <f t="shared" si="2"/>
        <v>7425.2347398910506</v>
      </c>
      <c r="V74" s="12">
        <f t="shared" si="2"/>
        <v>13022.794315348952</v>
      </c>
      <c r="W74" s="13">
        <f t="shared" si="2"/>
        <v>2093.2379761639004</v>
      </c>
    </row>
    <row r="75" spans="1:23" x14ac:dyDescent="0.2">
      <c r="A75" t="s">
        <v>22</v>
      </c>
      <c r="E75" t="s">
        <v>44</v>
      </c>
    </row>
    <row r="76" spans="1:23" x14ac:dyDescent="0.2">
      <c r="A76" t="s">
        <v>45</v>
      </c>
      <c r="E76">
        <v>488</v>
      </c>
      <c r="F76" t="s">
        <v>25</v>
      </c>
      <c r="N76">
        <f t="shared" ref="N76:W76" si="3">AVERAGE(N70:N74)</f>
        <v>1109.3418864882303</v>
      </c>
      <c r="O76">
        <f t="shared" si="3"/>
        <v>11438.048575289245</v>
      </c>
      <c r="P76">
        <f t="shared" si="3"/>
        <v>5074.0135696607076</v>
      </c>
      <c r="Q76">
        <f t="shared" si="3"/>
        <v>15926.150998151808</v>
      </c>
      <c r="R76">
        <f t="shared" si="3"/>
        <v>2185.3211979223838</v>
      </c>
      <c r="S76">
        <f t="shared" si="3"/>
        <v>1300.1522117394466</v>
      </c>
      <c r="T76">
        <f t="shared" si="3"/>
        <v>12088.780260571355</v>
      </c>
      <c r="U76">
        <f t="shared" si="3"/>
        <v>7290.7793403656196</v>
      </c>
      <c r="V76">
        <f t="shared" si="3"/>
        <v>10545.948228383637</v>
      </c>
      <c r="W76">
        <f t="shared" si="3"/>
        <v>2086.0298065077982</v>
      </c>
    </row>
    <row r="77" spans="1:23" x14ac:dyDescent="0.2">
      <c r="A77" t="s">
        <v>46</v>
      </c>
      <c r="E77">
        <v>520</v>
      </c>
      <c r="F77" t="s">
        <v>25</v>
      </c>
    </row>
    <row r="78" spans="1:23" x14ac:dyDescent="0.2">
      <c r="A78" t="s">
        <v>47</v>
      </c>
      <c r="E78">
        <v>9</v>
      </c>
      <c r="F78" t="s">
        <v>25</v>
      </c>
      <c r="M78" t="s">
        <v>76</v>
      </c>
      <c r="N78" s="14">
        <f>N76/974</f>
        <v>1.1389547089201544</v>
      </c>
      <c r="O78" s="15">
        <f>O76/10336</f>
        <v>1.106622346680461</v>
      </c>
      <c r="P78" s="15">
        <f>P76/16798</f>
        <v>0.30206057683418902</v>
      </c>
      <c r="Q78" s="15">
        <f>Q76/40900</f>
        <v>0.38939244494258701</v>
      </c>
      <c r="R78" s="14">
        <f>R76/1809</f>
        <v>1.2080271961981115</v>
      </c>
      <c r="S78">
        <f>S76/895</f>
        <v>1.4526840354630688</v>
      </c>
      <c r="T78" s="15">
        <f>T76/10832</f>
        <v>1.1160247655623481</v>
      </c>
      <c r="U78" s="15">
        <f>U76/17626</f>
        <v>0.41363777036001476</v>
      </c>
      <c r="V78" s="15">
        <f>V76/52231</f>
        <v>0.20190975145763315</v>
      </c>
      <c r="W78">
        <f>W76/1938</f>
        <v>1.0763827690958712</v>
      </c>
    </row>
    <row r="79" spans="1:23" x14ac:dyDescent="0.2">
      <c r="A79" t="s">
        <v>48</v>
      </c>
      <c r="E79">
        <v>20</v>
      </c>
      <c r="F79" t="s">
        <v>25</v>
      </c>
      <c r="N79" s="14"/>
      <c r="O79" s="15"/>
      <c r="P79" s="15"/>
      <c r="Q79" s="15"/>
      <c r="R79" s="14"/>
      <c r="T79" s="15"/>
      <c r="U79" s="15"/>
      <c r="V79" s="15"/>
    </row>
    <row r="80" spans="1:23" x14ac:dyDescent="0.2">
      <c r="A80" t="s">
        <v>49</v>
      </c>
      <c r="E80">
        <v>80</v>
      </c>
      <c r="F80" t="s">
        <v>50</v>
      </c>
      <c r="O80">
        <v>0.76480811530581838</v>
      </c>
      <c r="P80">
        <v>0.27963033866450804</v>
      </c>
      <c r="Q80">
        <v>2.5762064429055653E-2</v>
      </c>
      <c r="T80">
        <v>0.47405271129345883</v>
      </c>
      <c r="U80">
        <v>0.12721054123881126</v>
      </c>
      <c r="V80">
        <v>1.7987497954172215E-2</v>
      </c>
    </row>
    <row r="81" spans="1:23" x14ac:dyDescent="0.2">
      <c r="A81" t="s">
        <v>27</v>
      </c>
      <c r="E81">
        <v>25</v>
      </c>
    </row>
    <row r="82" spans="1:23" x14ac:dyDescent="0.2">
      <c r="A82" t="s">
        <v>51</v>
      </c>
      <c r="E82">
        <v>20</v>
      </c>
      <c r="F82" t="s">
        <v>52</v>
      </c>
    </row>
    <row r="83" spans="1:23" x14ac:dyDescent="0.2">
      <c r="A83" t="s">
        <v>53</v>
      </c>
      <c r="E83">
        <v>0</v>
      </c>
      <c r="F83" t="s">
        <v>52</v>
      </c>
      <c r="M83" t="s">
        <v>75</v>
      </c>
      <c r="N83">
        <v>884.30419678949022</v>
      </c>
      <c r="O83">
        <v>9467.1119959733023</v>
      </c>
      <c r="P83">
        <v>4292.0614771064074</v>
      </c>
      <c r="Q83">
        <v>3200.6581217613343</v>
      </c>
      <c r="R83">
        <v>1641.5480265932845</v>
      </c>
      <c r="S83">
        <v>1014.4985142969326</v>
      </c>
      <c r="T83">
        <v>6540.8131678551936</v>
      </c>
      <c r="U83">
        <v>3326.0919975396782</v>
      </c>
      <c r="V83">
        <v>1689.8628387652054</v>
      </c>
      <c r="W83">
        <v>1545.5791580880066</v>
      </c>
    </row>
    <row r="84" spans="1:23" x14ac:dyDescent="0.2">
      <c r="A84" t="s">
        <v>28</v>
      </c>
      <c r="E84">
        <v>0</v>
      </c>
      <c r="F84" t="s">
        <v>29</v>
      </c>
      <c r="M84" t="s">
        <v>77</v>
      </c>
      <c r="N84">
        <f>N76/N83</f>
        <v>1.2544799521654997</v>
      </c>
      <c r="O84" s="14">
        <f t="shared" ref="O84:W84" si="4">O76/O83</f>
        <v>1.2081877324525423</v>
      </c>
      <c r="P84" s="14">
        <f t="shared" si="4"/>
        <v>1.1821856692233288</v>
      </c>
      <c r="Q84" s="14">
        <f>Q76/Q83</f>
        <v>4.975898828390827</v>
      </c>
      <c r="R84">
        <f t="shared" si="4"/>
        <v>1.331256327880699</v>
      </c>
      <c r="S84">
        <f t="shared" si="4"/>
        <v>1.2815713314676243</v>
      </c>
      <c r="T84" s="14">
        <f t="shared" si="4"/>
        <v>1.8482075470343089</v>
      </c>
      <c r="U84" s="14">
        <f t="shared" si="4"/>
        <v>2.1919956951757902</v>
      </c>
      <c r="V84" s="14">
        <f>V76/V83</f>
        <v>6.2407125516113693</v>
      </c>
      <c r="W84">
        <f t="shared" si="4"/>
        <v>1.3496751658377486</v>
      </c>
    </row>
    <row r="85" spans="1:23" x14ac:dyDescent="0.2">
      <c r="A85" t="s">
        <v>54</v>
      </c>
      <c r="E85">
        <v>20000</v>
      </c>
      <c r="F85" t="s">
        <v>55</v>
      </c>
    </row>
    <row r="86" spans="1:23" ht="16" thickBot="1" x14ac:dyDescent="0.25">
      <c r="A86" t="s">
        <v>30</v>
      </c>
      <c r="E86" t="s">
        <v>31</v>
      </c>
      <c r="M86" t="s">
        <v>78</v>
      </c>
      <c r="N86">
        <v>804.94499442709639</v>
      </c>
      <c r="O86">
        <v>10229.199524165497</v>
      </c>
      <c r="P86">
        <v>3721.9381676354701</v>
      </c>
      <c r="Q86">
        <v>4614.626312008787</v>
      </c>
      <c r="R86">
        <v>1648.8781995715763</v>
      </c>
      <c r="S86">
        <v>969.05473065601416</v>
      </c>
      <c r="T86">
        <v>5868.7973572408619</v>
      </c>
      <c r="U86">
        <v>3188.9289710326698</v>
      </c>
      <c r="V86">
        <v>1718.5203187730622</v>
      </c>
      <c r="W86">
        <v>1575.9626984591391</v>
      </c>
    </row>
    <row r="87" spans="1:23" ht="16" thickBot="1" x14ac:dyDescent="0.25">
      <c r="A87" t="s">
        <v>32</v>
      </c>
      <c r="B87" s="2" t="s">
        <v>60</v>
      </c>
      <c r="M87" t="s">
        <v>79</v>
      </c>
      <c r="N87" s="16">
        <f>N76/N86</f>
        <v>1.3781586247117201</v>
      </c>
      <c r="O87" s="17">
        <f t="shared" ref="O87:W87" si="5">O76/O86</f>
        <v>1.1181763097169002</v>
      </c>
      <c r="P87" s="17">
        <f t="shared" si="5"/>
        <v>1.3632718602856868</v>
      </c>
      <c r="Q87" s="17">
        <f t="shared" si="5"/>
        <v>3.4512330839675327</v>
      </c>
      <c r="R87" s="18">
        <f t="shared" si="5"/>
        <v>1.3253381592953259</v>
      </c>
      <c r="S87" s="16">
        <f t="shared" si="5"/>
        <v>1.3416705688638366</v>
      </c>
      <c r="T87" s="17">
        <f t="shared" si="5"/>
        <v>2.0598394397885187</v>
      </c>
      <c r="U87" s="17">
        <f t="shared" si="5"/>
        <v>2.2862783732698344</v>
      </c>
      <c r="V87" s="17">
        <f t="shared" si="5"/>
        <v>6.1366444802426994</v>
      </c>
      <c r="W87" s="18">
        <f t="shared" si="5"/>
        <v>1.3236543025716061</v>
      </c>
    </row>
    <row r="89" spans="1:23" x14ac:dyDescent="0.2">
      <c r="B89" t="s">
        <v>57</v>
      </c>
    </row>
    <row r="90" spans="1:23" x14ac:dyDescent="0.2">
      <c r="A90" s="4" t="s">
        <v>35</v>
      </c>
      <c r="B90" s="4">
        <v>2</v>
      </c>
      <c r="C90" s="4">
        <v>3</v>
      </c>
      <c r="D90" s="4">
        <v>4</v>
      </c>
      <c r="E90" s="4">
        <v>5</v>
      </c>
      <c r="F90" s="4">
        <v>6</v>
      </c>
      <c r="G90" s="4">
        <v>7</v>
      </c>
      <c r="H90" s="4">
        <v>8</v>
      </c>
      <c r="I90" s="4">
        <v>9</v>
      </c>
      <c r="J90" s="4">
        <v>10</v>
      </c>
      <c r="K90" s="4">
        <v>11</v>
      </c>
      <c r="L90" s="4">
        <v>12</v>
      </c>
    </row>
    <row r="91" spans="1:23" x14ac:dyDescent="0.2">
      <c r="A91" s="4" t="s">
        <v>36</v>
      </c>
      <c r="B91">
        <v>3004</v>
      </c>
      <c r="C91">
        <v>14908</v>
      </c>
      <c r="D91">
        <v>5698</v>
      </c>
      <c r="E91">
        <v>13919</v>
      </c>
      <c r="F91">
        <v>4008</v>
      </c>
      <c r="G91">
        <v>3424</v>
      </c>
      <c r="H91">
        <v>16062</v>
      </c>
      <c r="I91">
        <v>9369</v>
      </c>
      <c r="J91">
        <v>14586</v>
      </c>
      <c r="K91">
        <v>3524</v>
      </c>
      <c r="L91">
        <v>2183</v>
      </c>
      <c r="N91">
        <f>B91-2179</f>
        <v>825</v>
      </c>
      <c r="O91">
        <f t="shared" ref="O91:O95" si="6">C91-2179</f>
        <v>12729</v>
      </c>
      <c r="P91">
        <f t="shared" ref="P91:P95" si="7">D91-2179</f>
        <v>3519</v>
      </c>
      <c r="Q91">
        <f t="shared" ref="Q91:Q95" si="8">E91-2179</f>
        <v>11740</v>
      </c>
      <c r="R91">
        <f t="shared" ref="R91:R95" si="9">F91-2179</f>
        <v>1829</v>
      </c>
      <c r="S91">
        <f t="shared" ref="S91:S95" si="10">G91-2179</f>
        <v>1245</v>
      </c>
      <c r="T91">
        <f t="shared" ref="T91:T95" si="11">H91-2179</f>
        <v>13883</v>
      </c>
      <c r="U91">
        <f t="shared" ref="U91:U95" si="12">I91-2179</f>
        <v>7190</v>
      </c>
      <c r="V91">
        <f t="shared" ref="V91:V95" si="13">J91-2179</f>
        <v>12407</v>
      </c>
      <c r="W91">
        <f t="shared" ref="W91:W95" si="14">K91-2179</f>
        <v>1345</v>
      </c>
    </row>
    <row r="92" spans="1:23" x14ac:dyDescent="0.2">
      <c r="A92" s="4" t="s">
        <v>37</v>
      </c>
      <c r="B92">
        <v>3403</v>
      </c>
      <c r="C92">
        <v>14729</v>
      </c>
      <c r="D92">
        <v>7060</v>
      </c>
      <c r="E92">
        <v>18443</v>
      </c>
      <c r="F92">
        <v>3988</v>
      </c>
      <c r="G92">
        <v>2978</v>
      </c>
      <c r="H92">
        <v>13360</v>
      </c>
      <c r="I92">
        <v>8025</v>
      </c>
      <c r="J92">
        <v>4615</v>
      </c>
      <c r="K92">
        <v>3478</v>
      </c>
      <c r="L92">
        <v>2199</v>
      </c>
      <c r="N92">
        <f t="shared" ref="N92:N95" si="15">B92-2179</f>
        <v>1224</v>
      </c>
      <c r="O92">
        <f t="shared" si="6"/>
        <v>12550</v>
      </c>
      <c r="P92">
        <f t="shared" si="7"/>
        <v>4881</v>
      </c>
      <c r="Q92">
        <f t="shared" si="8"/>
        <v>16264</v>
      </c>
      <c r="R92">
        <f t="shared" si="9"/>
        <v>1809</v>
      </c>
      <c r="S92">
        <f t="shared" si="10"/>
        <v>799</v>
      </c>
      <c r="T92">
        <f t="shared" si="11"/>
        <v>11181</v>
      </c>
      <c r="U92">
        <f t="shared" si="12"/>
        <v>5846</v>
      </c>
      <c r="V92">
        <f t="shared" si="13"/>
        <v>2436</v>
      </c>
      <c r="W92">
        <f t="shared" si="14"/>
        <v>1299</v>
      </c>
    </row>
    <row r="93" spans="1:23" x14ac:dyDescent="0.2">
      <c r="A93" s="4" t="s">
        <v>38</v>
      </c>
      <c r="B93">
        <v>3141</v>
      </c>
      <c r="C93">
        <v>13091</v>
      </c>
      <c r="D93">
        <v>6539</v>
      </c>
      <c r="E93">
        <v>11891</v>
      </c>
      <c r="F93">
        <v>3724</v>
      </c>
      <c r="G93">
        <v>3426</v>
      </c>
      <c r="H93">
        <v>15138</v>
      </c>
      <c r="I93">
        <v>7671</v>
      </c>
      <c r="J93">
        <v>10637</v>
      </c>
      <c r="K93">
        <v>3764</v>
      </c>
      <c r="L93">
        <v>2156</v>
      </c>
      <c r="N93">
        <f t="shared" si="15"/>
        <v>962</v>
      </c>
      <c r="O93">
        <f t="shared" si="6"/>
        <v>10912</v>
      </c>
      <c r="P93">
        <f t="shared" si="7"/>
        <v>4360</v>
      </c>
      <c r="Q93">
        <f t="shared" si="8"/>
        <v>9712</v>
      </c>
      <c r="R93">
        <f t="shared" si="9"/>
        <v>1545</v>
      </c>
      <c r="S93">
        <f t="shared" si="10"/>
        <v>1247</v>
      </c>
      <c r="T93">
        <f t="shared" si="11"/>
        <v>12959</v>
      </c>
      <c r="U93">
        <f t="shared" si="12"/>
        <v>5492</v>
      </c>
      <c r="V93">
        <f t="shared" si="13"/>
        <v>8458</v>
      </c>
      <c r="W93">
        <f t="shared" si="14"/>
        <v>1585</v>
      </c>
    </row>
    <row r="94" spans="1:23" x14ac:dyDescent="0.2">
      <c r="A94" s="4" t="s">
        <v>39</v>
      </c>
      <c r="B94">
        <v>3329</v>
      </c>
      <c r="C94">
        <v>13156</v>
      </c>
      <c r="D94">
        <v>6987</v>
      </c>
      <c r="E94">
        <v>13852</v>
      </c>
      <c r="F94">
        <v>3954</v>
      </c>
      <c r="G94">
        <v>3430</v>
      </c>
      <c r="H94">
        <v>14270</v>
      </c>
      <c r="I94">
        <v>9732</v>
      </c>
      <c r="J94">
        <v>12932</v>
      </c>
      <c r="K94">
        <v>4085</v>
      </c>
      <c r="L94">
        <v>188</v>
      </c>
      <c r="N94">
        <f t="shared" si="15"/>
        <v>1150</v>
      </c>
      <c r="O94">
        <f t="shared" si="6"/>
        <v>10977</v>
      </c>
      <c r="P94">
        <f t="shared" si="7"/>
        <v>4808</v>
      </c>
      <c r="Q94">
        <f t="shared" si="8"/>
        <v>11673</v>
      </c>
      <c r="R94">
        <f t="shared" si="9"/>
        <v>1775</v>
      </c>
      <c r="S94">
        <f t="shared" si="10"/>
        <v>1251</v>
      </c>
      <c r="T94">
        <f t="shared" si="11"/>
        <v>12091</v>
      </c>
      <c r="U94">
        <f t="shared" si="12"/>
        <v>7553</v>
      </c>
      <c r="V94">
        <f t="shared" si="13"/>
        <v>10753</v>
      </c>
      <c r="W94">
        <f t="shared" si="14"/>
        <v>1906</v>
      </c>
    </row>
    <row r="95" spans="1:23" x14ac:dyDescent="0.2">
      <c r="A95" s="4" t="s">
        <v>40</v>
      </c>
      <c r="B95">
        <v>3373</v>
      </c>
      <c r="C95">
        <v>12395</v>
      </c>
      <c r="D95">
        <v>6762</v>
      </c>
      <c r="E95">
        <v>19743</v>
      </c>
      <c r="F95">
        <v>4007</v>
      </c>
      <c r="G95">
        <v>3508</v>
      </c>
      <c r="H95">
        <v>11432</v>
      </c>
      <c r="I95">
        <v>8982</v>
      </c>
      <c r="J95">
        <v>11377</v>
      </c>
      <c r="K95">
        <v>3993</v>
      </c>
      <c r="L95">
        <v>191</v>
      </c>
      <c r="N95">
        <f t="shared" si="15"/>
        <v>1194</v>
      </c>
      <c r="O95">
        <f t="shared" si="6"/>
        <v>10216</v>
      </c>
      <c r="P95">
        <f t="shared" si="7"/>
        <v>4583</v>
      </c>
      <c r="Q95">
        <f t="shared" si="8"/>
        <v>17564</v>
      </c>
      <c r="R95">
        <f t="shared" si="9"/>
        <v>1828</v>
      </c>
      <c r="S95">
        <f t="shared" si="10"/>
        <v>1329</v>
      </c>
      <c r="T95">
        <f t="shared" si="11"/>
        <v>9253</v>
      </c>
      <c r="U95">
        <f t="shared" si="12"/>
        <v>6803</v>
      </c>
      <c r="V95">
        <f t="shared" si="13"/>
        <v>9198</v>
      </c>
      <c r="W95">
        <f t="shared" si="14"/>
        <v>1814</v>
      </c>
    </row>
    <row r="97" spans="1:12" x14ac:dyDescent="0.2">
      <c r="L97">
        <f>AVERAGE(L91:L93)</f>
        <v>2179.3333333333335</v>
      </c>
    </row>
    <row r="100" spans="1:12" x14ac:dyDescent="0.2">
      <c r="A100" t="s">
        <v>41</v>
      </c>
      <c r="B100" s="2" t="s">
        <v>61</v>
      </c>
    </row>
    <row r="105" spans="1:12" x14ac:dyDescent="0.2">
      <c r="A105" t="s">
        <v>62</v>
      </c>
    </row>
    <row r="106" spans="1:12" x14ac:dyDescent="0.2">
      <c r="A106" t="s">
        <v>22</v>
      </c>
      <c r="E106" t="s">
        <v>44</v>
      </c>
    </row>
    <row r="107" spans="1:12" x14ac:dyDescent="0.2">
      <c r="A107" t="s">
        <v>45</v>
      </c>
      <c r="E107">
        <v>488</v>
      </c>
      <c r="F107" t="s">
        <v>25</v>
      </c>
    </row>
    <row r="108" spans="1:12" x14ac:dyDescent="0.2">
      <c r="A108" t="s">
        <v>46</v>
      </c>
      <c r="E108">
        <v>520</v>
      </c>
      <c r="F108" t="s">
        <v>25</v>
      </c>
    </row>
    <row r="109" spans="1:12" x14ac:dyDescent="0.2">
      <c r="A109" t="s">
        <v>47</v>
      </c>
      <c r="E109">
        <v>9</v>
      </c>
      <c r="F109" t="s">
        <v>25</v>
      </c>
    </row>
    <row r="110" spans="1:12" x14ac:dyDescent="0.2">
      <c r="A110" t="s">
        <v>48</v>
      </c>
      <c r="E110">
        <v>20</v>
      </c>
      <c r="F110" t="s">
        <v>25</v>
      </c>
    </row>
    <row r="111" spans="1:12" x14ac:dyDescent="0.2">
      <c r="A111" t="s">
        <v>49</v>
      </c>
      <c r="E111">
        <v>100</v>
      </c>
      <c r="F111" t="s">
        <v>50</v>
      </c>
    </row>
    <row r="112" spans="1:12" x14ac:dyDescent="0.2">
      <c r="A112" t="s">
        <v>27</v>
      </c>
      <c r="E112">
        <v>25</v>
      </c>
    </row>
    <row r="113" spans="1:12" x14ac:dyDescent="0.2">
      <c r="A113" t="s">
        <v>51</v>
      </c>
      <c r="E113">
        <v>20</v>
      </c>
      <c r="F113" t="s">
        <v>52</v>
      </c>
    </row>
    <row r="114" spans="1:12" x14ac:dyDescent="0.2">
      <c r="A114" t="s">
        <v>53</v>
      </c>
      <c r="E114">
        <v>0</v>
      </c>
      <c r="F114" t="s">
        <v>52</v>
      </c>
    </row>
    <row r="115" spans="1:12" x14ac:dyDescent="0.2">
      <c r="A115" t="s">
        <v>28</v>
      </c>
      <c r="E115">
        <v>0</v>
      </c>
      <c r="F115" t="s">
        <v>29</v>
      </c>
    </row>
    <row r="116" spans="1:12" x14ac:dyDescent="0.2">
      <c r="A116" t="s">
        <v>54</v>
      </c>
      <c r="E116">
        <v>20000</v>
      </c>
      <c r="F116" t="s">
        <v>55</v>
      </c>
    </row>
    <row r="117" spans="1:12" x14ac:dyDescent="0.2">
      <c r="A117" t="s">
        <v>30</v>
      </c>
      <c r="E117" t="s">
        <v>31</v>
      </c>
    </row>
    <row r="118" spans="1:12" x14ac:dyDescent="0.2">
      <c r="A118" t="s">
        <v>32</v>
      </c>
      <c r="B118" s="2" t="s">
        <v>63</v>
      </c>
    </row>
    <row r="120" spans="1:12" x14ac:dyDescent="0.2">
      <c r="B120" t="s">
        <v>57</v>
      </c>
    </row>
    <row r="121" spans="1:12" x14ac:dyDescent="0.2">
      <c r="A121" s="4" t="s">
        <v>35</v>
      </c>
      <c r="B121" s="4">
        <v>2</v>
      </c>
      <c r="C121" s="4">
        <v>3</v>
      </c>
      <c r="D121" s="4">
        <v>4</v>
      </c>
      <c r="E121" s="4">
        <v>5</v>
      </c>
      <c r="F121" s="4">
        <v>6</v>
      </c>
      <c r="G121" s="4">
        <v>7</v>
      </c>
      <c r="H121" s="4">
        <v>8</v>
      </c>
      <c r="I121" s="4">
        <v>9</v>
      </c>
      <c r="J121" s="4">
        <v>10</v>
      </c>
      <c r="K121" s="4">
        <v>11</v>
      </c>
      <c r="L121" s="4">
        <v>12</v>
      </c>
    </row>
    <row r="122" spans="1:12" x14ac:dyDescent="0.2">
      <c r="A122" s="4" t="s">
        <v>36</v>
      </c>
      <c r="B122">
        <v>14523</v>
      </c>
      <c r="C122" s="5" t="s">
        <v>64</v>
      </c>
      <c r="D122">
        <v>27370</v>
      </c>
      <c r="E122" s="5" t="s">
        <v>64</v>
      </c>
      <c r="F122">
        <v>19189</v>
      </c>
      <c r="G122">
        <v>16412</v>
      </c>
      <c r="H122" s="5" t="s">
        <v>64</v>
      </c>
      <c r="I122">
        <v>44735</v>
      </c>
      <c r="J122" s="5" t="s">
        <v>64</v>
      </c>
      <c r="K122">
        <v>16916</v>
      </c>
      <c r="L122">
        <v>10464</v>
      </c>
    </row>
    <row r="123" spans="1:12" x14ac:dyDescent="0.2">
      <c r="A123" s="4" t="s">
        <v>37</v>
      </c>
      <c r="B123">
        <v>16338</v>
      </c>
      <c r="C123" s="5" t="s">
        <v>64</v>
      </c>
      <c r="D123">
        <v>33736</v>
      </c>
      <c r="E123" s="5" t="s">
        <v>64</v>
      </c>
      <c r="F123">
        <v>19187</v>
      </c>
      <c r="G123">
        <v>14284</v>
      </c>
      <c r="H123">
        <v>63065</v>
      </c>
      <c r="I123">
        <v>38325</v>
      </c>
      <c r="J123">
        <v>22171</v>
      </c>
      <c r="K123">
        <v>16630</v>
      </c>
      <c r="L123">
        <v>10521</v>
      </c>
    </row>
    <row r="124" spans="1:12" x14ac:dyDescent="0.2">
      <c r="A124" s="4" t="s">
        <v>38</v>
      </c>
      <c r="B124">
        <v>15140</v>
      </c>
      <c r="C124">
        <v>62040</v>
      </c>
      <c r="D124">
        <v>31304</v>
      </c>
      <c r="E124">
        <v>56468</v>
      </c>
      <c r="F124">
        <v>17967</v>
      </c>
      <c r="G124">
        <v>16501</v>
      </c>
      <c r="H124" s="5" t="s">
        <v>64</v>
      </c>
      <c r="I124">
        <v>36817</v>
      </c>
      <c r="J124">
        <v>50757</v>
      </c>
      <c r="K124">
        <v>18083</v>
      </c>
      <c r="L124">
        <v>10385</v>
      </c>
    </row>
    <row r="125" spans="1:12" x14ac:dyDescent="0.2">
      <c r="A125" s="4" t="s">
        <v>39</v>
      </c>
      <c r="B125">
        <v>15983</v>
      </c>
      <c r="C125">
        <v>62587</v>
      </c>
      <c r="D125">
        <v>33579</v>
      </c>
      <c r="E125" s="5" t="s">
        <v>64</v>
      </c>
      <c r="F125">
        <v>19051</v>
      </c>
      <c r="G125">
        <v>16552</v>
      </c>
      <c r="H125" s="5" t="s">
        <v>64</v>
      </c>
      <c r="I125">
        <v>46343</v>
      </c>
      <c r="J125">
        <v>61677</v>
      </c>
      <c r="K125">
        <v>19673</v>
      </c>
      <c r="L125">
        <v>915</v>
      </c>
    </row>
    <row r="126" spans="1:12" x14ac:dyDescent="0.2">
      <c r="A126" s="4" t="s">
        <v>40</v>
      </c>
      <c r="B126">
        <v>16239</v>
      </c>
      <c r="C126">
        <v>58923</v>
      </c>
      <c r="D126">
        <v>32398</v>
      </c>
      <c r="E126" s="5" t="s">
        <v>64</v>
      </c>
      <c r="F126">
        <v>19309</v>
      </c>
      <c r="G126">
        <v>16895</v>
      </c>
      <c r="H126">
        <v>54336</v>
      </c>
      <c r="I126">
        <v>42823</v>
      </c>
      <c r="J126">
        <v>54075</v>
      </c>
      <c r="K126">
        <v>19130</v>
      </c>
      <c r="L126">
        <v>907</v>
      </c>
    </row>
    <row r="131" spans="1:2" x14ac:dyDescent="0.2">
      <c r="A131" t="s">
        <v>41</v>
      </c>
      <c r="B131" s="2" t="s">
        <v>65</v>
      </c>
    </row>
  </sheetData>
  <mergeCells count="4">
    <mergeCell ref="N67:Q67"/>
    <mergeCell ref="S67:V67"/>
    <mergeCell ref="N68:R68"/>
    <mergeCell ref="S68:W68"/>
  </mergeCells>
  <conditionalFormatting sqref="N70:W7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tet10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Yuanchi Ha</cp:lastModifiedBy>
  <dcterms:created xsi:type="dcterms:W3CDTF">2025-10-02T20:39:59Z</dcterms:created>
  <dcterms:modified xsi:type="dcterms:W3CDTF">2025-10-25T01:38:01Z</dcterms:modified>
</cp:coreProperties>
</file>