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BB2230C9-4DAB-C046-BA45-E4F46464592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5" i="3" l="1"/>
  <c r="V95" i="3"/>
  <c r="U95" i="3"/>
  <c r="T95" i="3"/>
  <c r="S95" i="3"/>
  <c r="R95" i="3"/>
  <c r="Q95" i="3"/>
  <c r="P95" i="3"/>
  <c r="P74" i="3" s="1"/>
  <c r="O95" i="3"/>
  <c r="W94" i="3"/>
  <c r="V94" i="3"/>
  <c r="U94" i="3"/>
  <c r="T94" i="3"/>
  <c r="S94" i="3"/>
  <c r="R94" i="3"/>
  <c r="Q94" i="3"/>
  <c r="Q73" i="3" s="1"/>
  <c r="P94" i="3"/>
  <c r="O94" i="3"/>
  <c r="W93" i="3"/>
  <c r="W72" i="3" s="1"/>
  <c r="V93" i="3"/>
  <c r="V72" i="3" s="1"/>
  <c r="U93" i="3"/>
  <c r="T93" i="3"/>
  <c r="S93" i="3"/>
  <c r="S72" i="3" s="1"/>
  <c r="R93" i="3"/>
  <c r="R72" i="3" s="1"/>
  <c r="Q93" i="3"/>
  <c r="Q72" i="3" s="1"/>
  <c r="P93" i="3"/>
  <c r="P72" i="3" s="1"/>
  <c r="O93" i="3"/>
  <c r="O72" i="3" s="1"/>
  <c r="W92" i="3"/>
  <c r="V92" i="3"/>
  <c r="U92" i="3"/>
  <c r="T92" i="3"/>
  <c r="S92" i="3"/>
  <c r="R92" i="3"/>
  <c r="Q92" i="3"/>
  <c r="P92" i="3"/>
  <c r="O92" i="3"/>
  <c r="W91" i="3"/>
  <c r="V91" i="3"/>
  <c r="U91" i="3"/>
  <c r="T91" i="3"/>
  <c r="S91" i="3"/>
  <c r="R91" i="3"/>
  <c r="Q91" i="3"/>
  <c r="P91" i="3"/>
  <c r="O91" i="3"/>
  <c r="N95" i="3"/>
  <c r="N94" i="3"/>
  <c r="N93" i="3"/>
  <c r="N92" i="3"/>
  <c r="N91" i="3"/>
  <c r="L97" i="3"/>
  <c r="W33" i="3"/>
  <c r="W74" i="3" s="1"/>
  <c r="V33" i="3"/>
  <c r="U33" i="3"/>
  <c r="T33" i="3"/>
  <c r="S33" i="3"/>
  <c r="R33" i="3"/>
  <c r="Q33" i="3"/>
  <c r="P33" i="3"/>
  <c r="O33" i="3"/>
  <c r="W32" i="3"/>
  <c r="V32" i="3"/>
  <c r="U32" i="3"/>
  <c r="T32" i="3"/>
  <c r="S32" i="3"/>
  <c r="R32" i="3"/>
  <c r="Q32" i="3"/>
  <c r="P32" i="3"/>
  <c r="P73" i="3" s="1"/>
  <c r="O32" i="3"/>
  <c r="W31" i="3"/>
  <c r="V31" i="3"/>
  <c r="U31" i="3"/>
  <c r="T31" i="3"/>
  <c r="S31" i="3"/>
  <c r="R31" i="3"/>
  <c r="Q31" i="3"/>
  <c r="P31" i="3"/>
  <c r="O31" i="3"/>
  <c r="W30" i="3"/>
  <c r="V30" i="3"/>
  <c r="U30" i="3"/>
  <c r="T30" i="3"/>
  <c r="S30" i="3"/>
  <c r="R30" i="3"/>
  <c r="R71" i="3" s="1"/>
  <c r="Q30" i="3"/>
  <c r="P30" i="3"/>
  <c r="O30" i="3"/>
  <c r="W29" i="3"/>
  <c r="V29" i="3"/>
  <c r="U29" i="3"/>
  <c r="T29" i="3"/>
  <c r="S29" i="3"/>
  <c r="R29" i="3"/>
  <c r="Q29" i="3"/>
  <c r="P29" i="3"/>
  <c r="O29" i="3"/>
  <c r="O70" i="3" s="1"/>
  <c r="N33" i="3"/>
  <c r="N32" i="3"/>
  <c r="N73" i="3" s="1"/>
  <c r="N31" i="3"/>
  <c r="N30" i="3"/>
  <c r="N29" i="3"/>
  <c r="L35" i="3"/>
  <c r="Q74" i="3"/>
  <c r="O74" i="3"/>
  <c r="N74" i="3"/>
  <c r="W73" i="3"/>
  <c r="V73" i="3"/>
  <c r="U73" i="3"/>
  <c r="T73" i="3"/>
  <c r="U72" i="3"/>
  <c r="T72" i="3"/>
  <c r="N72" i="3"/>
  <c r="O71" i="3"/>
  <c r="N71" i="3"/>
  <c r="W70" i="3"/>
  <c r="V70" i="3"/>
  <c r="U70" i="3"/>
  <c r="T70" i="3"/>
  <c r="S70" i="3"/>
  <c r="R70" i="3"/>
  <c r="S74" i="3"/>
  <c r="R74" i="3"/>
  <c r="Q71" i="3"/>
  <c r="P71" i="3"/>
  <c r="V74" i="3"/>
  <c r="U74" i="3"/>
  <c r="T74" i="3"/>
  <c r="O73" i="3"/>
  <c r="N70" i="3"/>
  <c r="S71" i="3" l="1"/>
  <c r="T71" i="3"/>
  <c r="U71" i="3"/>
  <c r="P70" i="3"/>
  <c r="P76" i="3" s="1"/>
  <c r="V71" i="3"/>
  <c r="R73" i="3"/>
  <c r="R76" i="3" s="1"/>
  <c r="Q70" i="3"/>
  <c r="Q76" i="3" s="1"/>
  <c r="Q78" i="3" s="1"/>
  <c r="W71" i="3"/>
  <c r="W76" i="3" s="1"/>
  <c r="S73" i="3"/>
  <c r="P84" i="3"/>
  <c r="P87" i="3"/>
  <c r="P78" i="3"/>
  <c r="S76" i="3"/>
  <c r="T76" i="3"/>
  <c r="N76" i="3"/>
  <c r="V76" i="3"/>
  <c r="O76" i="3"/>
  <c r="U76" i="3"/>
  <c r="Q87" i="3" l="1"/>
  <c r="Q84" i="3"/>
  <c r="W87" i="3"/>
  <c r="W78" i="3"/>
  <c r="W84" i="3"/>
  <c r="U87" i="3"/>
  <c r="U84" i="3"/>
  <c r="U78" i="3"/>
  <c r="R84" i="3"/>
  <c r="R78" i="3"/>
  <c r="R87" i="3"/>
  <c r="O84" i="3"/>
  <c r="O87" i="3"/>
  <c r="O78" i="3"/>
  <c r="V87" i="3"/>
  <c r="V84" i="3"/>
  <c r="V78" i="3"/>
  <c r="N84" i="3"/>
  <c r="N78" i="3"/>
  <c r="N87" i="3"/>
  <c r="T87" i="3"/>
  <c r="T78" i="3"/>
  <c r="T84" i="3"/>
  <c r="S84" i="3"/>
  <c r="S87" i="3"/>
  <c r="S7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<sst xmlns="http://schemas.openxmlformats.org/spreadsheetml/2006/main" count="239" uniqueCount="87">
  <si>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</si>
  <si>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</si>
  <si>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</si>
  <si>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</si>
  <si>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</si>
  <si>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</si>
  <si>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</si>
  <si>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</si>
  <si>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</si>
  <si>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12:46:59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</si>
  <si>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</si>
  <si>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</si>
  <si>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</si>
  <si>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</si>
  <si>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</si>
  <si>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</si>
  <si>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</si>
  <si>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</si>
  <si>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</si>
  <si>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</si>
  <si>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</si>
  <si>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</si>
  <si>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</si>
  <si>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</si>
  <si>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</si>
  <si>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</si>
  <si>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</si>
  <si>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B11-C12</t>
  </si>
  <si>
    <t>Start Time:</t>
  </si>
  <si>
    <t>9/27/2025 12:46:59 PM</t>
  </si>
  <si>
    <t>Temperature: 26.7 °C</t>
  </si>
  <si>
    <t>&lt;&gt;</t>
  </si>
  <si>
    <t>B</t>
  </si>
  <si>
    <t>C</t>
  </si>
  <si>
    <t>End Time:</t>
  </si>
  <si>
    <t>9/27/2025 12:47:05 PM</t>
  </si>
  <si>
    <t>Label: mRuby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</si>
  <si>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</si>
  <si>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</si>
  <si>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</si>
  <si>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</si>
  <si>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</si>
  <si>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</si>
  <si>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</si>
  <si>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</si>
  <si>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</si>
  <si>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</si>
  <si>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</si>
  <si>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</si>
  <si>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9/27/2025 12:47:10 PM</t>
  </si>
  <si>
    <t>9/27/2025 12:47:18 PM</t>
  </si>
  <si>
    <t>5:11:01 PM</t>
  </si>
  <si>
    <t>Shaking (Orbital) Duration:</t>
  </si>
  <si>
    <t>s</t>
  </si>
  <si>
    <t>Shaking (Orbital) Amplitude:</t>
  </si>
  <si>
    <t>mm</t>
  </si>
  <si>
    <t>Label: od600</t>
  </si>
  <si>
    <t>B2-F12</t>
  </si>
  <si>
    <t>9/29/2025 5:11:06 PM</t>
  </si>
  <si>
    <t>D</t>
  </si>
  <si>
    <t>E</t>
  </si>
  <si>
    <t>F</t>
  </si>
  <si>
    <t>9/29/2025 5:11:32 PM</t>
  </si>
  <si>
    <t>Label: gfp50</t>
  </si>
  <si>
    <t>9/29/2025 5:11:37 PM</t>
  </si>
  <si>
    <t>9/29/2025 5:12:25 PM</t>
  </si>
  <si>
    <t>Label: gfp 80</t>
  </si>
  <si>
    <t>9/29/2025 5:12:33 PM</t>
  </si>
  <si>
    <t>Temperature: 26.8 °C</t>
  </si>
  <si>
    <t>9/29/2025 5:13:21 PM</t>
  </si>
  <si>
    <t>Label: gfp100</t>
  </si>
  <si>
    <t>9/29/2025 5:13:28 PM</t>
  </si>
  <si>
    <t>9/29/2025 5:14:17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</si>
  <si>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</si>
  <si>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</si>
  <si>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</si>
  <si>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</si>
  <si>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</si>
  <si>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</si>
  <si>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</si>
  <si>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</si>
  <si>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</si>
  <si>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D15/D1</t>
  </si>
  <si>
    <t>D12</t>
  </si>
  <si>
    <t>D15/D12</t>
  </si>
  <si>
    <t>D7</t>
  </si>
  <si>
    <t>D15/D7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</si>
</sst>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C67" zoomScale="109" workbookViewId="0">
      <selection activeCell="O91" sqref="O91:W95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45929</v>
      </c>
    </row>
    <row r="6" spans="1:12" x14ac:dyDescent="0.2">
      <c r="A6" t="s">
        <v>8</v>
      </c>
      <c r="B6" s="2" t="s">
        <v>51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4" t="s">
        <v>52</v>
      </c>
      <c r="B14" s="4"/>
      <c r="C14" s="4"/>
      <c r="D14" s="4"/>
      <c r="E14" s="4">
        <v>5</v>
      </c>
      <c r="F14" s="4" t="s">
        <v>53</v>
      </c>
      <c r="G14" s="4"/>
      <c r="H14" s="4"/>
      <c r="I14" s="4"/>
      <c r="J14" s="4"/>
      <c r="K14" s="4"/>
      <c r="L14" s="4"/>
    </row>
    <row r="15" spans="1:12" x14ac:dyDescent="0.2">
      <c r="A15" s="4" t="s">
        <v>54</v>
      </c>
      <c r="B15" s="4"/>
      <c r="C15" s="4"/>
      <c r="D15" s="4"/>
      <c r="E15" s="4">
        <v>2</v>
      </c>
      <c r="F15" s="4" t="s">
        <v>55</v>
      </c>
      <c r="G15" s="4"/>
      <c r="H15" s="4"/>
      <c r="I15" s="4"/>
      <c r="J15" s="4"/>
      <c r="K15" s="4"/>
      <c r="L15" s="4"/>
    </row>
    <row r="18" spans="1:23" x14ac:dyDescent="0.2">
      <c r="A18" t="s">
        <v>56</v>
      </c>
    </row>
    <row r="19" spans="1:23" x14ac:dyDescent="0.2">
      <c r="A19" t="s">
        <v>18</v>
      </c>
      <c r="E19" t="s">
        <v>19</v>
      </c>
    </row>
    <row r="20" spans="1:23" x14ac:dyDescent="0.2">
      <c r="A20" t="s">
        <v>20</v>
      </c>
      <c r="E20">
        <v>600</v>
      </c>
      <c r="F20" t="s">
        <v>21</v>
      </c>
    </row>
    <row r="21" spans="1:23" x14ac:dyDescent="0.2">
      <c r="A21" t="s">
        <v>22</v>
      </c>
      <c r="E21">
        <v>9</v>
      </c>
      <c r="F21" t="s">
        <v>21</v>
      </c>
    </row>
    <row r="22" spans="1:23" x14ac:dyDescent="0.2">
      <c r="A22" t="s">
        <v>23</v>
      </c>
      <c r="E22">
        <v>10</v>
      </c>
    </row>
    <row r="23" spans="1:23" x14ac:dyDescent="0.2">
      <c r="A23" t="s">
        <v>24</v>
      </c>
      <c r="E23">
        <v>0</v>
      </c>
      <c r="F23" t="s">
        <v>25</v>
      </c>
    </row>
    <row r="24" spans="1:23" x14ac:dyDescent="0.2">
      <c r="A24" t="s">
        <v>26</v>
      </c>
      <c r="E24" t="s">
        <v>57</v>
      </c>
    </row>
    <row r="25" spans="1:23" x14ac:dyDescent="0.2">
      <c r="A25" t="s">
        <v>28</v>
      </c>
      <c r="B25" s="2" t="s">
        <v>58</v>
      </c>
    </row>
    <row r="27" spans="1:23" x14ac:dyDescent="0.2">
      <c r="B27" t="s">
        <v>30</v>
      </c>
    </row>
    <row r="28" spans="1:23" x14ac:dyDescent="0.2">
      <c r="A28" s="3" t="s">
        <v>31</v>
      </c>
      <c r="B28" s="3">
        <v>2</v>
      </c>
      <c r="C28" s="3">
        <v>3</v>
      </c>
      <c r="D28" s="3">
        <v>4</v>
      </c>
      <c r="E28" s="3">
        <v>5</v>
      </c>
      <c r="F28" s="3">
        <v>6</v>
      </c>
      <c r="G28" s="3">
        <v>7</v>
      </c>
      <c r="H28" s="3">
        <v>8</v>
      </c>
      <c r="I28" s="3">
        <v>9</v>
      </c>
      <c r="J28" s="3">
        <v>10</v>
      </c>
      <c r="K28" s="3">
        <v>11</v>
      </c>
      <c r="L28" s="3">
        <v>12</v>
      </c>
    </row>
    <row r="29" spans="1:23" x14ac:dyDescent="0.2">
      <c r="A29" s="3" t="s">
        <v>32</v>
      </c>
      <c r="B29">
        <v>1.1065000295639038</v>
      </c>
      <c r="C29">
        <v>1.1023999452590942</v>
      </c>
      <c r="D29">
        <v>1.1360000371932983</v>
      </c>
      <c r="E29">
        <v>1.0221999883651733</v>
      </c>
      <c r="F29">
        <v>1.0180000066757202</v>
      </c>
      <c r="G29">
        <v>1.2002999782562256</v>
      </c>
      <c r="H29">
        <v>1.1116000413894653</v>
      </c>
      <c r="I29">
        <v>1.0999000072479248</v>
      </c>
      <c r="J29">
        <v>1.0583000183105469</v>
      </c>
      <c r="K29">
        <v>1.0168999433517456</v>
      </c>
      <c r="L29">
        <v>4.2100001126527786E-2</v>
      </c>
      <c r="N29">
        <f>B29-0.042</f>
        <v>1.0645000295639038</v>
      </c>
      <c r="O29">
        <f t="shared" ref="O29:O33" si="0">C29-0.042</f>
        <v>1.0603999452590942</v>
      </c>
      <c r="P29">
        <f t="shared" ref="P29:P33" si="1">D29-0.042</f>
        <v>1.0940000371932983</v>
      </c>
      <c r="Q29">
        <f t="shared" ref="Q29:Q33" si="2">E29-0.042</f>
        <v>0.9801999883651733</v>
      </c>
      <c r="R29">
        <f t="shared" ref="R29:R33" si="3">F29-0.042</f>
        <v>0.97600000667572018</v>
      </c>
      <c r="S29">
        <f t="shared" ref="S29:S33" si="4">G29-0.042</f>
        <v>1.1582999782562255</v>
      </c>
      <c r="T29">
        <f t="shared" ref="T29:T33" si="5">H29-0.042</f>
        <v>1.0696000413894653</v>
      </c>
      <c r="U29">
        <f t="shared" ref="U29:U33" si="6">I29-0.042</f>
        <v>1.0579000072479248</v>
      </c>
      <c r="V29">
        <f t="shared" ref="V29:V33" si="7">J29-0.042</f>
        <v>1.0163000183105468</v>
      </c>
      <c r="W29">
        <f t="shared" ref="W29:W33" si="8">K29-0.042</f>
        <v>0.97489994335174557</v>
      </c>
    </row>
    <row r="30" spans="1:23" x14ac:dyDescent="0.2">
      <c r="A30" s="3" t="s">
        <v>33</v>
      </c>
      <c r="B30">
        <v>1.0697000026702881</v>
      </c>
      <c r="C30">
        <v>0.79140001535415649</v>
      </c>
      <c r="D30">
        <v>1.0880999565124512</v>
      </c>
      <c r="E30">
        <v>0.97170001268386841</v>
      </c>
      <c r="F30">
        <v>1.0601999759674072</v>
      </c>
      <c r="G30">
        <v>1.1231000423431396</v>
      </c>
      <c r="H30">
        <v>0.93930000066757202</v>
      </c>
      <c r="I30">
        <v>1.1794999837875366</v>
      </c>
      <c r="J30">
        <v>0.99489998817443848</v>
      </c>
      <c r="K30">
        <v>1.1009000539779663</v>
      </c>
      <c r="L30">
        <v>4.2800001800060272E-2</v>
      </c>
      <c r="N30">
        <f t="shared" ref="N30:N33" si="9">B30-0.042</f>
        <v>1.027700002670288</v>
      </c>
      <c r="O30">
        <f t="shared" si="0"/>
        <v>0.74940001535415646</v>
      </c>
      <c r="P30">
        <f t="shared" si="1"/>
        <v>1.0460999565124511</v>
      </c>
      <c r="Q30">
        <f t="shared" si="2"/>
        <v>0.92970001268386837</v>
      </c>
      <c r="R30">
        <f t="shared" si="3"/>
        <v>1.0181999759674072</v>
      </c>
      <c r="S30">
        <f t="shared" si="4"/>
        <v>1.0811000423431396</v>
      </c>
      <c r="T30">
        <f t="shared" si="5"/>
        <v>0.89730000066757198</v>
      </c>
      <c r="U30">
        <f t="shared" si="6"/>
        <v>1.1374999837875366</v>
      </c>
      <c r="V30">
        <f t="shared" si="7"/>
        <v>0.95289998817443844</v>
      </c>
      <c r="W30">
        <f t="shared" si="8"/>
        <v>1.0589000539779663</v>
      </c>
    </row>
    <row r="31" spans="1:23" x14ac:dyDescent="0.2">
      <c r="A31" s="3" t="s">
        <v>59</v>
      </c>
      <c r="B31">
        <v>1.0987000465393066</v>
      </c>
      <c r="C31">
        <v>1.049299955368042</v>
      </c>
      <c r="D31">
        <v>0.88099998235702515</v>
      </c>
      <c r="E31">
        <v>1.0180000066757202</v>
      </c>
      <c r="F31">
        <v>0.99430000782012939</v>
      </c>
      <c r="G31">
        <v>1.0683000087738037</v>
      </c>
      <c r="H31">
        <v>1.0614000558853149</v>
      </c>
      <c r="I31">
        <v>0.78810000419616699</v>
      </c>
      <c r="J31">
        <v>0.98119997978210449</v>
      </c>
      <c r="K31">
        <v>1.0856000185012817</v>
      </c>
      <c r="L31">
        <v>4.2100001126527786E-2</v>
      </c>
      <c r="N31">
        <f t="shared" si="9"/>
        <v>1.0567000465393066</v>
      </c>
      <c r="O31">
        <f t="shared" si="0"/>
        <v>1.007299955368042</v>
      </c>
      <c r="P31">
        <f t="shared" si="1"/>
        <v>0.83899998235702511</v>
      </c>
      <c r="Q31">
        <f t="shared" si="2"/>
        <v>0.97600000667572018</v>
      </c>
      <c r="R31">
        <f t="shared" si="3"/>
        <v>0.95230000782012936</v>
      </c>
      <c r="S31">
        <f t="shared" si="4"/>
        <v>1.0263000087738037</v>
      </c>
      <c r="T31">
        <f t="shared" si="5"/>
        <v>1.0194000558853149</v>
      </c>
      <c r="U31">
        <f t="shared" si="6"/>
        <v>0.74610000419616695</v>
      </c>
      <c r="V31">
        <f t="shared" si="7"/>
        <v>0.93919997978210445</v>
      </c>
      <c r="W31">
        <f t="shared" si="8"/>
        <v>1.0436000185012817</v>
      </c>
    </row>
    <row r="32" spans="1:23" x14ac:dyDescent="0.2">
      <c r="A32" s="3" t="s">
        <v>60</v>
      </c>
      <c r="B32">
        <v>0.99479997158050537</v>
      </c>
      <c r="C32">
        <v>1.0700000524520874</v>
      </c>
      <c r="D32">
        <v>0.75110000371932983</v>
      </c>
      <c r="E32">
        <v>0.92000001668930054</v>
      </c>
      <c r="F32">
        <v>1.1921999454498291</v>
      </c>
      <c r="G32">
        <v>1.0111000537872314</v>
      </c>
      <c r="H32">
        <v>0.99479997158050537</v>
      </c>
      <c r="I32">
        <v>1.0019999742507935</v>
      </c>
      <c r="J32">
        <v>0.78680002689361572</v>
      </c>
      <c r="K32">
        <v>0.98580002784729004</v>
      </c>
      <c r="L32">
        <v>4.439999908208847E-2</v>
      </c>
      <c r="N32">
        <f t="shared" si="9"/>
        <v>0.95279997158050533</v>
      </c>
      <c r="O32">
        <f t="shared" si="0"/>
        <v>1.0280000524520874</v>
      </c>
      <c r="P32">
        <f t="shared" si="1"/>
        <v>0.7091000037193298</v>
      </c>
      <c r="Q32">
        <f t="shared" si="2"/>
        <v>0.8780000166893005</v>
      </c>
      <c r="R32">
        <f t="shared" si="3"/>
        <v>1.1501999454498291</v>
      </c>
      <c r="S32">
        <f t="shared" si="4"/>
        <v>0.96910005378723141</v>
      </c>
      <c r="T32">
        <f t="shared" si="5"/>
        <v>0.95279997158050533</v>
      </c>
      <c r="U32">
        <f t="shared" si="6"/>
        <v>0.95999997425079342</v>
      </c>
      <c r="V32">
        <f t="shared" si="7"/>
        <v>0.74480002689361569</v>
      </c>
      <c r="W32">
        <f t="shared" si="8"/>
        <v>0.94380002784729</v>
      </c>
    </row>
    <row r="33" spans="1:23" x14ac:dyDescent="0.2">
      <c r="A33" s="3" t="s">
        <v>61</v>
      </c>
      <c r="B33">
        <v>0.90789997577667236</v>
      </c>
      <c r="C33">
        <v>0.98509997129440308</v>
      </c>
      <c r="D33">
        <v>0.77329999208450317</v>
      </c>
      <c r="E33">
        <v>0.67479997873306274</v>
      </c>
      <c r="F33">
        <v>1.0391999483108521</v>
      </c>
      <c r="G33">
        <v>1.0324000120162964</v>
      </c>
      <c r="H33">
        <v>0.91200000047683716</v>
      </c>
      <c r="I33">
        <v>0.96380001306533813</v>
      </c>
      <c r="J33">
        <v>0.9089999794960022</v>
      </c>
      <c r="K33">
        <v>0.92839998006820679</v>
      </c>
      <c r="L33">
        <v>4.4500000774860382E-2</v>
      </c>
      <c r="N33">
        <f t="shared" si="9"/>
        <v>0.86589997577667233</v>
      </c>
      <c r="O33">
        <f t="shared" si="0"/>
        <v>0.94309997129440304</v>
      </c>
      <c r="P33">
        <f t="shared" si="1"/>
        <v>0.73129999208450314</v>
      </c>
      <c r="Q33">
        <f t="shared" si="2"/>
        <v>0.63279997873306271</v>
      </c>
      <c r="R33">
        <f t="shared" si="3"/>
        <v>0.99719994831085201</v>
      </c>
      <c r="S33">
        <f t="shared" si="4"/>
        <v>0.99040001201629635</v>
      </c>
      <c r="T33">
        <f t="shared" si="5"/>
        <v>0.87000000047683712</v>
      </c>
      <c r="U33">
        <f t="shared" si="6"/>
        <v>0.9218000130653381</v>
      </c>
      <c r="V33">
        <f t="shared" si="7"/>
        <v>0.86699997949600216</v>
      </c>
      <c r="W33">
        <f t="shared" si="8"/>
        <v>0.88639998006820675</v>
      </c>
    </row>
    <row r="35" spans="1:23" x14ac:dyDescent="0.2">
      <c r="L35">
        <f>AVERAGE(L29:L31)</f>
        <v>4.2333334684371948E-2</v>
      </c>
    </row>
    <row r="38" spans="1:23" x14ac:dyDescent="0.2">
      <c r="A38" t="s">
        <v>34</v>
      </c>
      <c r="B38" s="2" t="s">
        <v>62</v>
      </c>
    </row>
    <row r="43" spans="1:23" x14ac:dyDescent="0.2">
      <c r="A43" t="s">
        <v>63</v>
      </c>
    </row>
    <row r="44" spans="1:23" x14ac:dyDescent="0.2">
      <c r="A44" t="s">
        <v>18</v>
      </c>
      <c r="E44" t="s">
        <v>37</v>
      </c>
    </row>
    <row r="45" spans="1:23" x14ac:dyDescent="0.2">
      <c r="A45" t="s">
        <v>38</v>
      </c>
      <c r="E45">
        <v>488</v>
      </c>
      <c r="F45" t="s">
        <v>21</v>
      </c>
    </row>
    <row r="46" spans="1:23" x14ac:dyDescent="0.2">
      <c r="A46" t="s">
        <v>39</v>
      </c>
      <c r="E46">
        <v>520</v>
      </c>
      <c r="F46" t="s">
        <v>21</v>
      </c>
    </row>
    <row r="47" spans="1:23" x14ac:dyDescent="0.2">
      <c r="A47" t="s">
        <v>40</v>
      </c>
      <c r="E47">
        <v>9</v>
      </c>
      <c r="F47" t="s">
        <v>21</v>
      </c>
    </row>
    <row r="48" spans="1:23" x14ac:dyDescent="0.2">
      <c r="A48" t="s">
        <v>41</v>
      </c>
      <c r="E48">
        <v>20</v>
      </c>
      <c r="F48" t="s">
        <v>21</v>
      </c>
    </row>
    <row r="49" spans="1:12" x14ac:dyDescent="0.2">
      <c r="A49" t="s">
        <v>42</v>
      </c>
      <c r="E49">
        <v>50</v>
      </c>
      <c r="F49" t="s">
        <v>43</v>
      </c>
    </row>
    <row r="50" spans="1:12" x14ac:dyDescent="0.2">
      <c r="A50" t="s">
        <v>23</v>
      </c>
      <c r="E50">
        <v>25</v>
      </c>
    </row>
    <row r="51" spans="1:12" x14ac:dyDescent="0.2">
      <c r="A51" t="s">
        <v>44</v>
      </c>
      <c r="E51">
        <v>20</v>
      </c>
      <c r="F51" t="s">
        <v>45</v>
      </c>
    </row>
    <row r="52" spans="1:12" x14ac:dyDescent="0.2">
      <c r="A52" t="s">
        <v>46</v>
      </c>
      <c r="E52">
        <v>0</v>
      </c>
      <c r="F52" t="s">
        <v>45</v>
      </c>
    </row>
    <row r="53" spans="1:12" x14ac:dyDescent="0.2">
      <c r="A53" t="s">
        <v>24</v>
      </c>
      <c r="E53">
        <v>0</v>
      </c>
      <c r="F53" t="s">
        <v>25</v>
      </c>
    </row>
    <row r="54" spans="1:12" x14ac:dyDescent="0.2">
      <c r="A54" t="s">
        <v>47</v>
      </c>
      <c r="E54">
        <v>20000</v>
      </c>
      <c r="F54" t="s">
        <v>48</v>
      </c>
    </row>
    <row r="55" spans="1:12" x14ac:dyDescent="0.2">
      <c r="A55" t="s">
        <v>26</v>
      </c>
      <c r="E55" t="s">
        <v>57</v>
      </c>
    </row>
    <row r="56" spans="1:12" x14ac:dyDescent="0.2">
      <c r="A56" t="s">
        <v>28</v>
      </c>
      <c r="B56" s="2" t="s">
        <v>64</v>
      </c>
    </row>
    <row r="58" spans="1:12" x14ac:dyDescent="0.2">
      <c r="B58" t="s">
        <v>30</v>
      </c>
    </row>
    <row r="59" spans="1:12" x14ac:dyDescent="0.2">
      <c r="A59" s="3" t="s">
        <v>31</v>
      </c>
      <c r="B59" s="3">
        <v>2</v>
      </c>
      <c r="C59" s="3">
        <v>3</v>
      </c>
      <c r="D59" s="3">
        <v>4</v>
      </c>
      <c r="E59" s="3">
        <v>5</v>
      </c>
      <c r="F59" s="3">
        <v>6</v>
      </c>
      <c r="G59" s="3">
        <v>7</v>
      </c>
      <c r="H59" s="3">
        <v>8</v>
      </c>
      <c r="I59" s="3">
        <v>9</v>
      </c>
      <c r="J59" s="3">
        <v>10</v>
      </c>
      <c r="K59" s="3">
        <v>11</v>
      </c>
      <c r="L59" s="3">
        <v>12</v>
      </c>
    </row>
    <row r="60" spans="1:12" x14ac:dyDescent="0.2">
      <c r="A60" s="3" t="s">
        <v>32</v>
      </c>
      <c r="B60">
        <v>108</v>
      </c>
      <c r="C60">
        <v>458</v>
      </c>
      <c r="D60">
        <v>214</v>
      </c>
      <c r="E60">
        <v>378</v>
      </c>
      <c r="F60">
        <v>127</v>
      </c>
      <c r="G60">
        <v>112</v>
      </c>
      <c r="H60">
        <v>356</v>
      </c>
      <c r="I60">
        <v>189</v>
      </c>
      <c r="J60">
        <v>186</v>
      </c>
      <c r="K60">
        <v>127</v>
      </c>
      <c r="L60">
        <v>77</v>
      </c>
    </row>
    <row r="61" spans="1:12" x14ac:dyDescent="0.2">
      <c r="A61" s="3" t="s">
        <v>33</v>
      </c>
      <c r="B61">
        <v>108</v>
      </c>
      <c r="C61">
        <v>267</v>
      </c>
      <c r="D61">
        <v>225</v>
      </c>
      <c r="E61">
        <v>158</v>
      </c>
      <c r="F61">
        <v>140</v>
      </c>
      <c r="G61">
        <v>114</v>
      </c>
      <c r="H61">
        <v>306</v>
      </c>
      <c r="I61">
        <v>226</v>
      </c>
      <c r="J61">
        <v>147</v>
      </c>
      <c r="K61">
        <v>140</v>
      </c>
      <c r="L61">
        <v>80</v>
      </c>
    </row>
    <row r="62" spans="1:12" x14ac:dyDescent="0.2">
      <c r="A62" s="3" t="s">
        <v>59</v>
      </c>
      <c r="B62">
        <v>107</v>
      </c>
      <c r="C62">
        <v>419</v>
      </c>
      <c r="D62">
        <v>192</v>
      </c>
      <c r="E62">
        <v>163</v>
      </c>
      <c r="F62">
        <v>136</v>
      </c>
      <c r="G62">
        <v>112</v>
      </c>
      <c r="H62">
        <v>336</v>
      </c>
      <c r="I62">
        <v>157</v>
      </c>
      <c r="J62">
        <v>170</v>
      </c>
      <c r="K62">
        <v>134</v>
      </c>
      <c r="L62">
        <v>79</v>
      </c>
    </row>
    <row r="63" spans="1:12" x14ac:dyDescent="0.2">
      <c r="A63" s="3" t="s">
        <v>60</v>
      </c>
      <c r="B63">
        <v>108</v>
      </c>
      <c r="C63">
        <v>443</v>
      </c>
      <c r="D63">
        <v>153</v>
      </c>
      <c r="E63">
        <v>295</v>
      </c>
      <c r="F63">
        <v>139</v>
      </c>
      <c r="G63">
        <v>113</v>
      </c>
      <c r="H63">
        <v>328</v>
      </c>
      <c r="I63">
        <v>214</v>
      </c>
      <c r="J63">
        <v>125</v>
      </c>
      <c r="K63">
        <v>138</v>
      </c>
      <c r="L63">
        <v>7</v>
      </c>
    </row>
    <row r="64" spans="1:12" x14ac:dyDescent="0.2">
      <c r="A64" s="3" t="s">
        <v>61</v>
      </c>
      <c r="B64">
        <v>103</v>
      </c>
      <c r="C64">
        <v>386</v>
      </c>
      <c r="D64">
        <v>156</v>
      </c>
      <c r="E64">
        <v>117</v>
      </c>
      <c r="F64">
        <v>136</v>
      </c>
      <c r="G64">
        <v>112</v>
      </c>
      <c r="H64">
        <v>303</v>
      </c>
      <c r="I64">
        <v>208</v>
      </c>
      <c r="J64">
        <v>154</v>
      </c>
      <c r="K64">
        <v>122</v>
      </c>
      <c r="L64">
        <v>7</v>
      </c>
    </row>
    <row r="67" spans="1:23" x14ac:dyDescent="0.2">
      <c r="N67" s="18" t="s">
        <v>73</v>
      </c>
      <c r="O67" s="18"/>
      <c r="P67" s="18"/>
      <c r="Q67" s="18"/>
      <c r="R67" t="s">
        <v>74</v>
      </c>
      <c r="S67" s="18" t="s">
        <v>73</v>
      </c>
      <c r="T67" s="18"/>
      <c r="U67" s="18"/>
      <c r="V67" s="18"/>
      <c r="W67" t="s">
        <v>74</v>
      </c>
    </row>
    <row r="68" spans="1:23" x14ac:dyDescent="0.2">
      <c r="N68" s="18" t="s">
        <v>75</v>
      </c>
      <c r="O68" s="18"/>
      <c r="P68" s="18"/>
      <c r="Q68" s="18"/>
      <c r="R68" s="18"/>
      <c r="S68" s="18" t="s">
        <v>76</v>
      </c>
      <c r="T68" s="18"/>
      <c r="U68" s="18"/>
      <c r="V68" s="18"/>
      <c r="W68" s="18"/>
    </row>
    <row r="69" spans="1:23" ht="16" thickBot="1" x14ac:dyDescent="0.25">
      <c r="A69" t="s">
        <v>34</v>
      </c>
      <c r="B69" s="2" t="s">
        <v>65</v>
      </c>
      <c r="N69" t="s">
        <v>77</v>
      </c>
      <c r="O69" t="s">
        <v>78</v>
      </c>
      <c r="P69" t="s">
        <v>79</v>
      </c>
      <c r="Q69" t="s">
        <v>80</v>
      </c>
      <c r="R69" t="s">
        <v>81</v>
      </c>
      <c r="S69" t="s">
        <v>77</v>
      </c>
      <c r="T69" t="s">
        <v>78</v>
      </c>
      <c r="U69" t="s">
        <v>79</v>
      </c>
      <c r="V69" t="s">
        <v>80</v>
      </c>
      <c r="W69" t="s">
        <v>81</v>
      </c>
    </row>
    <row r="70" spans="1:23" x14ac:dyDescent="0.2">
      <c r="N70" s="5">
        <f>N91/N29</f>
        <v>772.19349663780724</v>
      </c>
      <c r="O70" s="6">
        <f t="shared" ref="O70:W70" si="10">O91/O29</f>
        <v>10109.393203882819</v>
      </c>
      <c r="P70" s="6">
        <f t="shared" si="10"/>
        <v>3515.539185781995</v>
      </c>
      <c r="Q70" s="6">
        <f t="shared" si="10"/>
        <v>8618.6493575561017</v>
      </c>
      <c r="R70" s="7">
        <f t="shared" si="10"/>
        <v>1442.6229409523082</v>
      </c>
      <c r="S70" s="5">
        <f t="shared" si="10"/>
        <v>822.7575048690785</v>
      </c>
      <c r="T70" s="6">
        <f t="shared" si="10"/>
        <v>7327.037861572383</v>
      </c>
      <c r="U70" s="6">
        <f t="shared" si="10"/>
        <v>2957.7464586090141</v>
      </c>
      <c r="V70" s="6">
        <f t="shared" si="10"/>
        <v>3013.8738018442609</v>
      </c>
      <c r="W70" s="7">
        <f t="shared" si="10"/>
        <v>1436.0448059795174</v>
      </c>
    </row>
    <row r="71" spans="1:23" x14ac:dyDescent="0.2">
      <c r="N71" s="8">
        <f t="shared" ref="N71:W74" si="11">N92/N30</f>
        <v>796.92517064511071</v>
      </c>
      <c r="O71">
        <f t="shared" si="11"/>
        <v>7212.4364681867119</v>
      </c>
      <c r="P71">
        <f t="shared" si="11"/>
        <v>3983.3669565307955</v>
      </c>
      <c r="Q71">
        <f t="shared" si="11"/>
        <v>2451.3283520573023</v>
      </c>
      <c r="R71" s="9">
        <f t="shared" si="11"/>
        <v>1726.5763518897136</v>
      </c>
      <c r="S71" s="8">
        <f t="shared" si="11"/>
        <v>927.75872788436095</v>
      </c>
      <c r="T71">
        <f t="shared" si="11"/>
        <v>7155.9121756635614</v>
      </c>
      <c r="U71">
        <f t="shared" si="11"/>
        <v>3671.2088435334849</v>
      </c>
      <c r="V71">
        <f t="shared" si="11"/>
        <v>2097.8067213849749</v>
      </c>
      <c r="W71" s="9">
        <f t="shared" si="11"/>
        <v>1629.0489300852316</v>
      </c>
    </row>
    <row r="72" spans="1:23" x14ac:dyDescent="0.2">
      <c r="N72" s="8">
        <f t="shared" si="11"/>
        <v>766.53729944722784</v>
      </c>
      <c r="O72">
        <f t="shared" si="11"/>
        <v>9535.3920635195263</v>
      </c>
      <c r="P72">
        <f t="shared" si="11"/>
        <v>3841.4780307212163</v>
      </c>
      <c r="Q72">
        <f t="shared" si="11"/>
        <v>2440.5737537985783</v>
      </c>
      <c r="R72" s="9">
        <f t="shared" si="11"/>
        <v>1681.1928875909421</v>
      </c>
      <c r="S72" s="8">
        <f t="shared" si="11"/>
        <v>908.11652736272424</v>
      </c>
      <c r="T72">
        <f t="shared" si="11"/>
        <v>7141.4553667819482</v>
      </c>
      <c r="U72">
        <f t="shared" si="11"/>
        <v>2976.8127429416922</v>
      </c>
      <c r="V72">
        <f t="shared" si="11"/>
        <v>2761.9251020446263</v>
      </c>
      <c r="W72" s="9">
        <f t="shared" si="11"/>
        <v>1512.073564607801</v>
      </c>
    </row>
    <row r="73" spans="1:23" x14ac:dyDescent="0.2">
      <c r="N73" s="8">
        <f t="shared" si="11"/>
        <v>884.76073167973641</v>
      </c>
      <c r="O73">
        <f t="shared" si="11"/>
        <v>9970.8166118772915</v>
      </c>
      <c r="P73">
        <f t="shared" si="11"/>
        <v>2972.7823846329738</v>
      </c>
      <c r="Q73">
        <f t="shared" si="11"/>
        <v>6963.5533983862924</v>
      </c>
      <c r="R73" s="9">
        <f t="shared" si="11"/>
        <v>1470.179169012802</v>
      </c>
      <c r="S73" s="8">
        <f t="shared" si="11"/>
        <v>963.78077407997159</v>
      </c>
      <c r="T73">
        <f t="shared" si="11"/>
        <v>7391.897785552057</v>
      </c>
      <c r="U73">
        <f t="shared" si="11"/>
        <v>3971.8751065339925</v>
      </c>
      <c r="V73">
        <f t="shared" si="11"/>
        <v>1734.6938149138175</v>
      </c>
      <c r="W73" s="9">
        <f t="shared" si="11"/>
        <v>1754.6089755656867</v>
      </c>
    </row>
    <row r="74" spans="1:23" ht="16" thickBot="1" x14ac:dyDescent="0.25">
      <c r="A74" t="s">
        <v>66</v>
      </c>
      <c r="N74" s="10">
        <f t="shared" si="11"/>
        <v>810.71719556330788</v>
      </c>
      <c r="O74" s="11">
        <f t="shared" si="11"/>
        <v>9218.5349004597047</v>
      </c>
      <c r="P74" s="11">
        <f t="shared" si="11"/>
        <v>2978.2579291322186</v>
      </c>
      <c r="Q74" s="11">
        <f t="shared" si="11"/>
        <v>1730.4046093558886</v>
      </c>
      <c r="R74" s="12">
        <f t="shared" si="11"/>
        <v>1622.5432048414318</v>
      </c>
      <c r="S74" s="10">
        <f t="shared" si="11"/>
        <v>959.20838900834792</v>
      </c>
      <c r="T74" s="11">
        <f t="shared" si="11"/>
        <v>7267.8160879706156</v>
      </c>
      <c r="U74" s="11">
        <f t="shared" si="11"/>
        <v>3993.2739724739918</v>
      </c>
      <c r="V74" s="11">
        <f t="shared" si="11"/>
        <v>2477.5087091105343</v>
      </c>
      <c r="W74" s="12">
        <f t="shared" si="11"/>
        <v>1391.0198868744594</v>
      </c>
    </row>
    <row r="75" spans="1:23" x14ac:dyDescent="0.2">
      <c r="A75" t="s">
        <v>18</v>
      </c>
      <c r="E75" t="s">
        <v>37</v>
      </c>
    </row>
    <row r="76" spans="1:23" x14ac:dyDescent="0.2">
      <c r="A76" t="s">
        <v>38</v>
      </c>
      <c r="E76">
        <v>488</v>
      </c>
      <c r="F76" t="s">
        <v>21</v>
      </c>
      <c r="N76">
        <f t="shared" ref="N76:W76" si="12">AVERAGE(N70:N74)</f>
        <v>806.22677879463799</v>
      </c>
      <c r="O76">
        <f t="shared" si="12"/>
        <v>9209.3146495852088</v>
      </c>
      <c r="P76">
        <f t="shared" si="12"/>
        <v>3458.2848973598398</v>
      </c>
      <c r="Q76">
        <f t="shared" si="12"/>
        <v>4440.901894230833</v>
      </c>
      <c r="R76">
        <f t="shared" si="12"/>
        <v>1588.6229108574396</v>
      </c>
      <c r="S76">
        <f t="shared" si="12"/>
        <v>916.3243846408966</v>
      </c>
      <c r="T76">
        <f t="shared" si="12"/>
        <v>7256.8238555081134</v>
      </c>
      <c r="U76">
        <f t="shared" si="12"/>
        <v>3514.183424818435</v>
      </c>
      <c r="V76">
        <f t="shared" si="12"/>
        <v>2417.1616298596427</v>
      </c>
      <c r="W76">
        <f t="shared" si="12"/>
        <v>1544.5592326225392</v>
      </c>
    </row>
    <row r="77" spans="1:23" x14ac:dyDescent="0.2">
      <c r="A77" t="s">
        <v>39</v>
      </c>
      <c r="E77">
        <v>520</v>
      </c>
      <c r="F77" t="s">
        <v>21</v>
      </c>
    </row>
    <row r="78" spans="1:23" x14ac:dyDescent="0.2">
      <c r="A78" t="s">
        <v>40</v>
      </c>
      <c r="E78">
        <v>9</v>
      </c>
      <c r="F78" t="s">
        <v>21</v>
      </c>
      <c r="M78" t="s">
        <v>82</v>
      </c>
      <c r="N78" s="13">
        <f>N76/974</f>
        <v>0.82774823284870436</v>
      </c>
      <c r="O78" s="14">
        <f>O76/10336</f>
        <v>0.89099406439485385</v>
      </c>
      <c r="P78" s="14">
        <f>P76/16798</f>
        <v>0.20587480041432549</v>
      </c>
      <c r="Q78" s="14">
        <f>Q76/40900</f>
        <v>0.10857950841640178</v>
      </c>
      <c r="R78" s="13">
        <f>R76/1809</f>
        <v>0.87817739682556084</v>
      </c>
      <c r="S78">
        <f>S76/895</f>
        <v>1.0238261280903873</v>
      </c>
      <c r="T78" s="14">
        <f>T76/10832</f>
        <v>0.66994311812297946</v>
      </c>
      <c r="U78" s="14">
        <f>U76/17626</f>
        <v>0.19937498155102887</v>
      </c>
      <c r="V78" s="14">
        <f>V76/52231</f>
        <v>4.6278295071119503E-2</v>
      </c>
      <c r="W78">
        <f>W76/1938</f>
        <v>0.79698618814372502</v>
      </c>
    </row>
    <row r="79" spans="1:23" x14ac:dyDescent="0.2">
      <c r="A79" t="s">
        <v>41</v>
      </c>
      <c r="E79">
        <v>20</v>
      </c>
      <c r="F79" t="s">
        <v>21</v>
      </c>
      <c r="N79" s="13"/>
      <c r="O79" s="14"/>
      <c r="P79" s="14"/>
      <c r="Q79" s="14"/>
      <c r="R79" s="13"/>
      <c r="T79" s="14"/>
      <c r="U79" s="14"/>
      <c r="V79" s="14"/>
    </row>
    <row r="80" spans="1:23" x14ac:dyDescent="0.2">
      <c r="A80" t="s">
        <v>42</v>
      </c>
      <c r="E80">
        <v>80</v>
      </c>
      <c r="F80" t="s">
        <v>43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23</v>
      </c>
      <c r="E81">
        <v>25</v>
      </c>
    </row>
    <row r="82" spans="1:23" x14ac:dyDescent="0.2">
      <c r="A82" t="s">
        <v>44</v>
      </c>
      <c r="E82">
        <v>20</v>
      </c>
      <c r="F82" t="s">
        <v>45</v>
      </c>
    </row>
    <row r="83" spans="1:23" x14ac:dyDescent="0.2">
      <c r="A83" t="s">
        <v>46</v>
      </c>
      <c r="E83">
        <v>0</v>
      </c>
      <c r="F83" t="s">
        <v>45</v>
      </c>
      <c r="M83" t="s">
        <v>83</v>
      </c>
      <c r="N83">
        <v>884.30419678949022</v>
      </c>
      <c r="O83">
        <v>9467.1119959733023</v>
      </c>
      <c r="P83">
        <v>4292.0614771064074</v>
      </c>
      <c r="Q83">
        <v>3200.6581217613343</v>
      </c>
      <c r="R83">
        <v>1641.5480265932845</v>
      </c>
      <c r="S83">
        <v>1014.4985142969326</v>
      </c>
      <c r="T83">
        <v>6540.8131678551936</v>
      </c>
      <c r="U83">
        <v>3326.0919975396782</v>
      </c>
      <c r="V83">
        <v>1689.8628387652054</v>
      </c>
      <c r="W83">
        <v>1545.5791580880066</v>
      </c>
    </row>
    <row r="84" spans="1:23" x14ac:dyDescent="0.2">
      <c r="A84" t="s">
        <v>24</v>
      </c>
      <c r="E84">
        <v>0</v>
      </c>
      <c r="F84" t="s">
        <v>25</v>
      </c>
      <c r="M84" t="s">
        <v>84</v>
      </c>
      <c r="N84">
        <f>N76/N83</f>
        <v>0.91170751164778352</v>
      </c>
      <c r="O84" s="13">
        <f t="shared" ref="O84:W84" si="13">O76/O83</f>
        <v>0.97276916693308968</v>
      </c>
      <c r="P84" s="13">
        <f t="shared" si="13"/>
        <v>0.80573983289990581</v>
      </c>
      <c r="Q84" s="13">
        <f>Q76/Q83</f>
        <v>1.3874964851875489</v>
      </c>
      <c r="R84">
        <f t="shared" si="13"/>
        <v>0.96775902082762655</v>
      </c>
      <c r="S84">
        <f t="shared" si="13"/>
        <v>0.90322890741336115</v>
      </c>
      <c r="T84" s="13">
        <f t="shared" si="13"/>
        <v>1.1094681455161801</v>
      </c>
      <c r="U84" s="13">
        <f t="shared" si="13"/>
        <v>1.0565502780494012</v>
      </c>
      <c r="V84" s="13">
        <f>V76/V83</f>
        <v>1.430389244860772</v>
      </c>
      <c r="W84">
        <f t="shared" si="13"/>
        <v>0.99934010143697261</v>
      </c>
    </row>
    <row r="85" spans="1:23" x14ac:dyDescent="0.2">
      <c r="A85" t="s">
        <v>47</v>
      </c>
      <c r="E85">
        <v>20000</v>
      </c>
      <c r="F85" t="s">
        <v>48</v>
      </c>
    </row>
    <row r="86" spans="1:23" ht="16" thickBot="1" x14ac:dyDescent="0.25">
      <c r="A86" t="s">
        <v>26</v>
      </c>
      <c r="E86" t="s">
        <v>57</v>
      </c>
      <c r="M86" t="s">
        <v>85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28</v>
      </c>
      <c r="B87" s="2" t="s">
        <v>67</v>
      </c>
      <c r="M87" t="s">
        <v>86</v>
      </c>
      <c r="N87" s="15">
        <f>N76/N86</f>
        <v>0.6051396848384758</v>
      </c>
      <c r="O87" s="16">
        <f t="shared" ref="O87:W87" si="14">O76/O86</f>
        <v>0.7578686225312018</v>
      </c>
      <c r="P87" s="16">
        <f t="shared" si="14"/>
        <v>0.34640011030015672</v>
      </c>
      <c r="Q87" s="16">
        <f t="shared" si="14"/>
        <v>0.31707824505891041</v>
      </c>
      <c r="R87" s="17">
        <f t="shared" si="14"/>
        <v>0.70096116880292836</v>
      </c>
      <c r="S87" s="15">
        <f t="shared" si="14"/>
        <v>0.67389462373827358</v>
      </c>
      <c r="T87" s="16">
        <f t="shared" si="14"/>
        <v>0.57130172322400441</v>
      </c>
      <c r="U87" s="16">
        <f t="shared" si="14"/>
        <v>0.29498234384903826</v>
      </c>
      <c r="V87" s="16">
        <f t="shared" si="14"/>
        <v>0.20234121719108014</v>
      </c>
      <c r="W87" s="17">
        <f t="shared" si="14"/>
        <v>0.62739679460805975</v>
      </c>
    </row>
    <row r="89" spans="1:23" x14ac:dyDescent="0.2">
      <c r="B89" t="s">
        <v>68</v>
      </c>
    </row>
    <row r="90" spans="1:23" x14ac:dyDescent="0.2">
      <c r="A90" s="3" t="s">
        <v>31</v>
      </c>
      <c r="B90" s="3">
        <v>2</v>
      </c>
      <c r="C90" s="3">
        <v>3</v>
      </c>
      <c r="D90" s="3">
        <v>4</v>
      </c>
      <c r="E90" s="3">
        <v>5</v>
      </c>
      <c r="F90" s="3">
        <v>6</v>
      </c>
      <c r="G90" s="3">
        <v>7</v>
      </c>
      <c r="H90" s="3">
        <v>8</v>
      </c>
      <c r="I90" s="3">
        <v>9</v>
      </c>
      <c r="J90" s="3">
        <v>10</v>
      </c>
      <c r="K90" s="3">
        <v>11</v>
      </c>
      <c r="L90" s="3">
        <v>12</v>
      </c>
    </row>
    <row r="91" spans="1:23" x14ac:dyDescent="0.2">
      <c r="A91" s="3" t="s">
        <v>32</v>
      </c>
      <c r="B91">
        <v>3060</v>
      </c>
      <c r="C91">
        <v>12958</v>
      </c>
      <c r="D91">
        <v>6084</v>
      </c>
      <c r="E91">
        <v>10686</v>
      </c>
      <c r="F91">
        <v>3646</v>
      </c>
      <c r="G91">
        <v>3191</v>
      </c>
      <c r="H91">
        <v>10075</v>
      </c>
      <c r="I91">
        <v>5367</v>
      </c>
      <c r="J91">
        <v>5301</v>
      </c>
      <c r="K91">
        <v>3638</v>
      </c>
      <c r="L91">
        <v>2222</v>
      </c>
      <c r="N91">
        <f>B91-2238</f>
        <v>822</v>
      </c>
      <c r="O91">
        <f t="shared" ref="O91:O95" si="15">C91-2238</f>
        <v>10720</v>
      </c>
      <c r="P91">
        <f t="shared" ref="P91:P95" si="16">D91-2238</f>
        <v>3846</v>
      </c>
      <c r="Q91">
        <f t="shared" ref="Q91:Q95" si="17">E91-2238</f>
        <v>8448</v>
      </c>
      <c r="R91">
        <f t="shared" ref="R91:R95" si="18">F91-2238</f>
        <v>1408</v>
      </c>
      <c r="S91">
        <f t="shared" ref="S91:S95" si="19">G91-2238</f>
        <v>953</v>
      </c>
      <c r="T91">
        <f t="shared" ref="T91:T95" si="20">H91-2238</f>
        <v>7837</v>
      </c>
      <c r="U91">
        <f t="shared" ref="U91:U95" si="21">I91-2238</f>
        <v>3129</v>
      </c>
      <c r="V91">
        <f t="shared" ref="V91:V95" si="22">J91-2238</f>
        <v>3063</v>
      </c>
      <c r="W91">
        <f t="shared" ref="W91:W95" si="23">K91-2238</f>
        <v>1400</v>
      </c>
    </row>
    <row r="92" spans="1:23" x14ac:dyDescent="0.2">
      <c r="A92" s="3" t="s">
        <v>33</v>
      </c>
      <c r="B92">
        <v>3057</v>
      </c>
      <c r="C92">
        <v>7643</v>
      </c>
      <c r="D92">
        <v>6405</v>
      </c>
      <c r="E92">
        <v>4517</v>
      </c>
      <c r="F92">
        <v>3996</v>
      </c>
      <c r="G92">
        <v>3241</v>
      </c>
      <c r="H92">
        <v>8659</v>
      </c>
      <c r="I92">
        <v>6414</v>
      </c>
      <c r="J92">
        <v>4237</v>
      </c>
      <c r="K92">
        <v>3963</v>
      </c>
      <c r="L92">
        <v>2273</v>
      </c>
      <c r="N92">
        <f t="shared" ref="N92:N95" si="24">B92-2238</f>
        <v>819</v>
      </c>
      <c r="O92">
        <f t="shared" si="15"/>
        <v>5405</v>
      </c>
      <c r="P92">
        <f t="shared" si="16"/>
        <v>4167</v>
      </c>
      <c r="Q92">
        <f t="shared" si="17"/>
        <v>2279</v>
      </c>
      <c r="R92">
        <f t="shared" si="18"/>
        <v>1758</v>
      </c>
      <c r="S92">
        <f t="shared" si="19"/>
        <v>1003</v>
      </c>
      <c r="T92">
        <f t="shared" si="20"/>
        <v>6421</v>
      </c>
      <c r="U92">
        <f t="shared" si="21"/>
        <v>4176</v>
      </c>
      <c r="V92">
        <f t="shared" si="22"/>
        <v>1999</v>
      </c>
      <c r="W92">
        <f t="shared" si="23"/>
        <v>1725</v>
      </c>
    </row>
    <row r="93" spans="1:23" x14ac:dyDescent="0.2">
      <c r="A93" s="3" t="s">
        <v>59</v>
      </c>
      <c r="B93">
        <v>3048</v>
      </c>
      <c r="C93">
        <v>11843</v>
      </c>
      <c r="D93">
        <v>5461</v>
      </c>
      <c r="E93">
        <v>4620</v>
      </c>
      <c r="F93">
        <v>3839</v>
      </c>
      <c r="G93">
        <v>3170</v>
      </c>
      <c r="H93">
        <v>9518</v>
      </c>
      <c r="I93">
        <v>4459</v>
      </c>
      <c r="J93">
        <v>4832</v>
      </c>
      <c r="K93">
        <v>3816</v>
      </c>
      <c r="L93">
        <v>2219</v>
      </c>
      <c r="N93">
        <f t="shared" si="24"/>
        <v>810</v>
      </c>
      <c r="O93">
        <f t="shared" si="15"/>
        <v>9605</v>
      </c>
      <c r="P93">
        <f t="shared" si="16"/>
        <v>3223</v>
      </c>
      <c r="Q93">
        <f t="shared" si="17"/>
        <v>2382</v>
      </c>
      <c r="R93">
        <f t="shared" si="18"/>
        <v>1601</v>
      </c>
      <c r="S93">
        <f t="shared" si="19"/>
        <v>932</v>
      </c>
      <c r="T93">
        <f t="shared" si="20"/>
        <v>7280</v>
      </c>
      <c r="U93">
        <f t="shared" si="21"/>
        <v>2221</v>
      </c>
      <c r="V93">
        <f t="shared" si="22"/>
        <v>2594</v>
      </c>
      <c r="W93">
        <f t="shared" si="23"/>
        <v>1578</v>
      </c>
    </row>
    <row r="94" spans="1:23" x14ac:dyDescent="0.2">
      <c r="A94" s="3" t="s">
        <v>60</v>
      </c>
      <c r="B94">
        <v>3081</v>
      </c>
      <c r="C94">
        <v>12488</v>
      </c>
      <c r="D94">
        <v>4346</v>
      </c>
      <c r="E94">
        <v>8352</v>
      </c>
      <c r="F94">
        <v>3929</v>
      </c>
      <c r="G94">
        <v>3172</v>
      </c>
      <c r="H94">
        <v>9281</v>
      </c>
      <c r="I94">
        <v>6051</v>
      </c>
      <c r="J94">
        <v>3530</v>
      </c>
      <c r="K94">
        <v>3894</v>
      </c>
      <c r="L94">
        <v>193</v>
      </c>
      <c r="N94">
        <f t="shared" si="24"/>
        <v>843</v>
      </c>
      <c r="O94">
        <f t="shared" si="15"/>
        <v>10250</v>
      </c>
      <c r="P94">
        <f t="shared" si="16"/>
        <v>2108</v>
      </c>
      <c r="Q94">
        <f t="shared" si="17"/>
        <v>6114</v>
      </c>
      <c r="R94">
        <f t="shared" si="18"/>
        <v>1691</v>
      </c>
      <c r="S94">
        <f t="shared" si="19"/>
        <v>934</v>
      </c>
      <c r="T94">
        <f t="shared" si="20"/>
        <v>7043</v>
      </c>
      <c r="U94">
        <f t="shared" si="21"/>
        <v>3813</v>
      </c>
      <c r="V94">
        <f t="shared" si="22"/>
        <v>1292</v>
      </c>
      <c r="W94">
        <f t="shared" si="23"/>
        <v>1656</v>
      </c>
    </row>
    <row r="95" spans="1:23" x14ac:dyDescent="0.2">
      <c r="A95" s="3" t="s">
        <v>61</v>
      </c>
      <c r="B95">
        <v>2940</v>
      </c>
      <c r="C95">
        <v>10932</v>
      </c>
      <c r="D95">
        <v>4416</v>
      </c>
      <c r="E95">
        <v>3333</v>
      </c>
      <c r="F95">
        <v>3856</v>
      </c>
      <c r="G95">
        <v>3188</v>
      </c>
      <c r="H95">
        <v>8561</v>
      </c>
      <c r="I95">
        <v>5919</v>
      </c>
      <c r="J95">
        <v>4386</v>
      </c>
      <c r="K95">
        <v>3471</v>
      </c>
      <c r="L95">
        <v>190</v>
      </c>
      <c r="N95">
        <f t="shared" si="24"/>
        <v>702</v>
      </c>
      <c r="O95">
        <f t="shared" si="15"/>
        <v>8694</v>
      </c>
      <c r="P95">
        <f t="shared" si="16"/>
        <v>2178</v>
      </c>
      <c r="Q95">
        <f t="shared" si="17"/>
        <v>1095</v>
      </c>
      <c r="R95">
        <f t="shared" si="18"/>
        <v>1618</v>
      </c>
      <c r="S95">
        <f t="shared" si="19"/>
        <v>950</v>
      </c>
      <c r="T95">
        <f t="shared" si="20"/>
        <v>6323</v>
      </c>
      <c r="U95">
        <f t="shared" si="21"/>
        <v>3681</v>
      </c>
      <c r="V95">
        <f t="shared" si="22"/>
        <v>2148</v>
      </c>
      <c r="W95">
        <f t="shared" si="23"/>
        <v>1233</v>
      </c>
    </row>
    <row r="97" spans="1:12" x14ac:dyDescent="0.2">
      <c r="L97">
        <f>AVERAGE(L91:L93)</f>
        <v>2238</v>
      </c>
    </row>
    <row r="100" spans="1:12" x14ac:dyDescent="0.2">
      <c r="A100" t="s">
        <v>34</v>
      </c>
      <c r="B100" s="2" t="s">
        <v>69</v>
      </c>
    </row>
    <row r="105" spans="1:12" x14ac:dyDescent="0.2">
      <c r="A105" t="s">
        <v>70</v>
      </c>
    </row>
    <row r="106" spans="1:12" x14ac:dyDescent="0.2">
      <c r="A106" t="s">
        <v>18</v>
      </c>
      <c r="E106" t="s">
        <v>37</v>
      </c>
    </row>
    <row r="107" spans="1:12" x14ac:dyDescent="0.2">
      <c r="A107" t="s">
        <v>38</v>
      </c>
      <c r="E107">
        <v>488</v>
      </c>
      <c r="F107" t="s">
        <v>21</v>
      </c>
    </row>
    <row r="108" spans="1:12" x14ac:dyDescent="0.2">
      <c r="A108" t="s">
        <v>39</v>
      </c>
      <c r="E108">
        <v>520</v>
      </c>
      <c r="F108" t="s">
        <v>21</v>
      </c>
    </row>
    <row r="109" spans="1:12" x14ac:dyDescent="0.2">
      <c r="A109" t="s">
        <v>40</v>
      </c>
      <c r="E109">
        <v>9</v>
      </c>
      <c r="F109" t="s">
        <v>21</v>
      </c>
    </row>
    <row r="110" spans="1:12" x14ac:dyDescent="0.2">
      <c r="A110" t="s">
        <v>41</v>
      </c>
      <c r="E110">
        <v>20</v>
      </c>
      <c r="F110" t="s">
        <v>21</v>
      </c>
    </row>
    <row r="111" spans="1:12" x14ac:dyDescent="0.2">
      <c r="A111" t="s">
        <v>42</v>
      </c>
      <c r="E111">
        <v>100</v>
      </c>
      <c r="F111" t="s">
        <v>43</v>
      </c>
    </row>
    <row r="112" spans="1:12" x14ac:dyDescent="0.2">
      <c r="A112" t="s">
        <v>23</v>
      </c>
      <c r="E112">
        <v>25</v>
      </c>
    </row>
    <row r="113" spans="1:12" x14ac:dyDescent="0.2">
      <c r="A113" t="s">
        <v>44</v>
      </c>
      <c r="E113">
        <v>20</v>
      </c>
      <c r="F113" t="s">
        <v>45</v>
      </c>
    </row>
    <row r="114" spans="1:12" x14ac:dyDescent="0.2">
      <c r="A114" t="s">
        <v>46</v>
      </c>
      <c r="E114">
        <v>0</v>
      </c>
      <c r="F114" t="s">
        <v>45</v>
      </c>
    </row>
    <row r="115" spans="1:12" x14ac:dyDescent="0.2">
      <c r="A115" t="s">
        <v>24</v>
      </c>
      <c r="E115">
        <v>0</v>
      </c>
      <c r="F115" t="s">
        <v>25</v>
      </c>
    </row>
    <row r="116" spans="1:12" x14ac:dyDescent="0.2">
      <c r="A116" t="s">
        <v>47</v>
      </c>
      <c r="E116">
        <v>20000</v>
      </c>
      <c r="F116" t="s">
        <v>48</v>
      </c>
    </row>
    <row r="117" spans="1:12" x14ac:dyDescent="0.2">
      <c r="A117" t="s">
        <v>26</v>
      </c>
      <c r="E117" t="s">
        <v>57</v>
      </c>
    </row>
    <row r="118" spans="1:12" x14ac:dyDescent="0.2">
      <c r="A118" t="s">
        <v>28</v>
      </c>
      <c r="B118" s="2" t="s">
        <v>71</v>
      </c>
    </row>
    <row r="120" spans="1:12" x14ac:dyDescent="0.2">
      <c r="B120" t="s">
        <v>30</v>
      </c>
    </row>
    <row r="121" spans="1:12" x14ac:dyDescent="0.2">
      <c r="A121" s="3" t="s">
        <v>31</v>
      </c>
      <c r="B121" s="3">
        <v>2</v>
      </c>
      <c r="C121" s="3">
        <v>3</v>
      </c>
      <c r="D121" s="3">
        <v>4</v>
      </c>
      <c r="E121" s="3">
        <v>5</v>
      </c>
      <c r="F121" s="3">
        <v>6</v>
      </c>
      <c r="G121" s="3">
        <v>7</v>
      </c>
      <c r="H121" s="3">
        <v>8</v>
      </c>
      <c r="I121" s="3">
        <v>9</v>
      </c>
      <c r="J121" s="3">
        <v>10</v>
      </c>
      <c r="K121" s="3">
        <v>11</v>
      </c>
      <c r="L121" s="3">
        <v>12</v>
      </c>
    </row>
    <row r="122" spans="1:12" x14ac:dyDescent="0.2">
      <c r="A122" s="3" t="s">
        <v>32</v>
      </c>
      <c r="B122">
        <v>14726</v>
      </c>
      <c r="C122">
        <v>61649</v>
      </c>
      <c r="D122">
        <v>29226</v>
      </c>
      <c r="E122">
        <v>51126</v>
      </c>
      <c r="F122">
        <v>17542</v>
      </c>
      <c r="G122">
        <v>15475</v>
      </c>
      <c r="H122">
        <v>48070</v>
      </c>
      <c r="I122">
        <v>25827</v>
      </c>
      <c r="J122">
        <v>25510</v>
      </c>
      <c r="K122">
        <v>17470</v>
      </c>
      <c r="L122">
        <v>10654</v>
      </c>
    </row>
    <row r="123" spans="1:12" x14ac:dyDescent="0.2">
      <c r="A123" s="3" t="s">
        <v>33</v>
      </c>
      <c r="B123">
        <v>14724</v>
      </c>
      <c r="C123">
        <v>36480</v>
      </c>
      <c r="D123">
        <v>30654</v>
      </c>
      <c r="E123">
        <v>21626</v>
      </c>
      <c r="F123">
        <v>19236</v>
      </c>
      <c r="G123">
        <v>15547</v>
      </c>
      <c r="H123">
        <v>41472</v>
      </c>
      <c r="I123">
        <v>30691</v>
      </c>
      <c r="J123">
        <v>20330</v>
      </c>
      <c r="K123">
        <v>19092</v>
      </c>
      <c r="L123">
        <v>10928</v>
      </c>
    </row>
    <row r="124" spans="1:12" x14ac:dyDescent="0.2">
      <c r="A124" s="3" t="s">
        <v>59</v>
      </c>
      <c r="B124">
        <v>14662</v>
      </c>
      <c r="C124">
        <v>56441</v>
      </c>
      <c r="D124">
        <v>26247</v>
      </c>
      <c r="E124">
        <v>22278</v>
      </c>
      <c r="F124">
        <v>18435</v>
      </c>
      <c r="G124">
        <v>15315</v>
      </c>
      <c r="H124">
        <v>45411</v>
      </c>
      <c r="I124">
        <v>21437</v>
      </c>
      <c r="J124">
        <v>23240</v>
      </c>
      <c r="K124">
        <v>18395</v>
      </c>
      <c r="L124">
        <v>10753</v>
      </c>
    </row>
    <row r="125" spans="1:12" x14ac:dyDescent="0.2">
      <c r="A125" s="3" t="s">
        <v>60</v>
      </c>
      <c r="B125">
        <v>14877</v>
      </c>
      <c r="C125">
        <v>59292</v>
      </c>
      <c r="D125">
        <v>20975</v>
      </c>
      <c r="E125">
        <v>39930</v>
      </c>
      <c r="F125">
        <v>18866</v>
      </c>
      <c r="G125">
        <v>15367</v>
      </c>
      <c r="H125">
        <v>44551</v>
      </c>
      <c r="I125">
        <v>29261</v>
      </c>
      <c r="J125">
        <v>17067</v>
      </c>
      <c r="K125">
        <v>18805</v>
      </c>
      <c r="L125">
        <v>904</v>
      </c>
    </row>
    <row r="126" spans="1:12" x14ac:dyDescent="0.2">
      <c r="A126" s="3" t="s">
        <v>61</v>
      </c>
      <c r="B126">
        <v>14207</v>
      </c>
      <c r="C126">
        <v>52089</v>
      </c>
      <c r="D126">
        <v>21363</v>
      </c>
      <c r="E126">
        <v>16057</v>
      </c>
      <c r="F126">
        <v>18583</v>
      </c>
      <c r="G126">
        <v>15384</v>
      </c>
      <c r="H126">
        <v>41088</v>
      </c>
      <c r="I126">
        <v>28270</v>
      </c>
      <c r="J126">
        <v>21042</v>
      </c>
      <c r="K126">
        <v>16730</v>
      </c>
      <c r="L126">
        <v>922</v>
      </c>
    </row>
    <row r="131" spans="1:2" x14ac:dyDescent="0.2">
      <c r="A131" t="s">
        <v>34</v>
      </c>
      <c r="B131" s="2" t="s">
        <v>72</v>
      </c>
    </row>
  </sheetData>
  <mergeCells count="4">
    <mergeCell ref="N67:Q67"/>
    <mergeCell ref="S67:V67"/>
    <mergeCell ref="N68:R68"/>
    <mergeCell ref="S68:W6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opLeftCell="A10" workbookViewId="0"/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45927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6" x14ac:dyDescent="0.2">
      <c r="A17" t="s">
        <v>20</v>
      </c>
      <c r="E17">
        <v>600</v>
      </c>
      <c r="F17" t="s">
        <v>21</v>
      </c>
    </row>
    <row r="18" spans="1:6" x14ac:dyDescent="0.2">
      <c r="A18" t="s">
        <v>22</v>
      </c>
      <c r="E18">
        <v>9</v>
      </c>
      <c r="F18" t="s">
        <v>21</v>
      </c>
    </row>
    <row r="19" spans="1:6" x14ac:dyDescent="0.2">
      <c r="A19" t="s">
        <v>23</v>
      </c>
      <c r="E19">
        <v>10</v>
      </c>
    </row>
    <row r="20" spans="1:6" x14ac:dyDescent="0.2">
      <c r="A20" t="s">
        <v>24</v>
      </c>
      <c r="E20">
        <v>0</v>
      </c>
      <c r="F20" t="s">
        <v>25</v>
      </c>
    </row>
    <row r="21" spans="1:6" x14ac:dyDescent="0.2">
      <c r="A21" t="s">
        <v>26</v>
      </c>
      <c r="E21" t="s">
        <v>27</v>
      </c>
    </row>
    <row r="22" spans="1:6" x14ac:dyDescent="0.2">
      <c r="A22" t="s">
        <v>28</v>
      </c>
      <c r="B22" s="2" t="s">
        <v>29</v>
      </c>
    </row>
    <row r="24" spans="1:6" x14ac:dyDescent="0.2">
      <c r="B24" t="s">
        <v>30</v>
      </c>
    </row>
    <row r="25" spans="1:6" x14ac:dyDescent="0.2">
      <c r="A25" s="3" t="s">
        <v>31</v>
      </c>
      <c r="B25" s="3">
        <v>11</v>
      </c>
      <c r="C25" s="3">
        <v>12</v>
      </c>
    </row>
    <row r="26" spans="1:6" x14ac:dyDescent="0.2">
      <c r="A26" s="3" t="s">
        <v>32</v>
      </c>
      <c r="B26">
        <v>0.98430001735687256</v>
      </c>
      <c r="C26">
        <v>1.3980000019073486</v>
      </c>
    </row>
    <row r="27" spans="1:6" x14ac:dyDescent="0.2">
      <c r="A27" s="3" t="s">
        <v>33</v>
      </c>
      <c r="B27">
        <v>0.92510002851486206</v>
      </c>
      <c r="C27">
        <v>1.2532000541687012</v>
      </c>
    </row>
    <row r="32" spans="1:6" x14ac:dyDescent="0.2">
      <c r="A32" t="s">
        <v>34</v>
      </c>
      <c r="B32" s="2" t="s">
        <v>35</v>
      </c>
    </row>
    <row r="37" spans="1:6" x14ac:dyDescent="0.2">
      <c r="A37" t="s">
        <v>36</v>
      </c>
    </row>
    <row r="38" spans="1:6" x14ac:dyDescent="0.2">
      <c r="A38" t="s">
        <v>18</v>
      </c>
      <c r="E38" t="s">
        <v>37</v>
      </c>
    </row>
    <row r="39" spans="1:6" x14ac:dyDescent="0.2">
      <c r="A39" t="s">
        <v>38</v>
      </c>
      <c r="E39">
        <v>561</v>
      </c>
      <c r="F39" t="s">
        <v>21</v>
      </c>
    </row>
    <row r="40" spans="1:6" x14ac:dyDescent="0.2">
      <c r="A40" t="s">
        <v>39</v>
      </c>
      <c r="E40">
        <v>600</v>
      </c>
      <c r="F40" t="s">
        <v>21</v>
      </c>
    </row>
    <row r="41" spans="1:6" x14ac:dyDescent="0.2">
      <c r="A41" t="s">
        <v>40</v>
      </c>
      <c r="E41">
        <v>9</v>
      </c>
      <c r="F41" t="s">
        <v>21</v>
      </c>
    </row>
    <row r="42" spans="1:6" x14ac:dyDescent="0.2">
      <c r="A42" t="s">
        <v>41</v>
      </c>
      <c r="E42">
        <v>20</v>
      </c>
      <c r="F42" t="s">
        <v>21</v>
      </c>
    </row>
    <row r="43" spans="1:6" x14ac:dyDescent="0.2">
      <c r="A43" t="s">
        <v>42</v>
      </c>
      <c r="E43">
        <v>90</v>
      </c>
      <c r="F43" t="s">
        <v>43</v>
      </c>
    </row>
    <row r="44" spans="1:6" x14ac:dyDescent="0.2">
      <c r="A44" t="s">
        <v>23</v>
      </c>
      <c r="E44">
        <v>10</v>
      </c>
    </row>
    <row r="45" spans="1:6" x14ac:dyDescent="0.2">
      <c r="A45" t="s">
        <v>44</v>
      </c>
      <c r="E45">
        <v>20</v>
      </c>
      <c r="F45" t="s">
        <v>45</v>
      </c>
    </row>
    <row r="46" spans="1:6" x14ac:dyDescent="0.2">
      <c r="A46" t="s">
        <v>46</v>
      </c>
      <c r="E46">
        <v>0</v>
      </c>
      <c r="F46" t="s">
        <v>45</v>
      </c>
    </row>
    <row r="47" spans="1:6" x14ac:dyDescent="0.2">
      <c r="A47" t="s">
        <v>24</v>
      </c>
      <c r="E47">
        <v>0</v>
      </c>
      <c r="F47" t="s">
        <v>25</v>
      </c>
    </row>
    <row r="48" spans="1:6" x14ac:dyDescent="0.2">
      <c r="A48" t="s">
        <v>47</v>
      </c>
      <c r="E48">
        <v>20000</v>
      </c>
      <c r="F48" t="s">
        <v>48</v>
      </c>
    </row>
    <row r="49" spans="1:5" x14ac:dyDescent="0.2">
      <c r="A49" t="s">
        <v>26</v>
      </c>
      <c r="E49" t="s">
        <v>27</v>
      </c>
    </row>
    <row r="50" spans="1:5" x14ac:dyDescent="0.2">
      <c r="A50" t="s">
        <v>28</v>
      </c>
      <c r="B50" s="2" t="s">
        <v>49</v>
      </c>
    </row>
    <row r="52" spans="1:5" x14ac:dyDescent="0.2">
      <c r="B52" t="s">
        <v>30</v>
      </c>
    </row>
    <row r="53" spans="1:5" x14ac:dyDescent="0.2">
      <c r="A53" s="3" t="s">
        <v>31</v>
      </c>
      <c r="B53" s="3">
        <v>11</v>
      </c>
      <c r="C53" s="3">
        <v>12</v>
      </c>
    </row>
    <row r="54" spans="1:5" x14ac:dyDescent="0.2">
      <c r="A54" s="3" t="s">
        <v>32</v>
      </c>
      <c r="B54">
        <v>40</v>
      </c>
      <c r="C54">
        <v>52</v>
      </c>
    </row>
    <row r="55" spans="1:5" x14ac:dyDescent="0.2">
      <c r="A55" s="3" t="s">
        <v>33</v>
      </c>
      <c r="B55">
        <v>37</v>
      </c>
      <c r="C55">
        <v>52</v>
      </c>
    </row>
    <row r="60" spans="1:5" x14ac:dyDescent="0.2">
      <c r="A60" t="s">
        <v>34</v>
      </c>
      <c r="B60" s="2" t="s">
        <v>50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tet10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2025-09-27T16:46:58Z</dcterms:created>
  <dcterms:modified xsi:type="dcterms:W3CDTF">2025-10-25T01:20:20Z</dcterms:modified>
</cp:coreProperties>
</file>