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F490E558-CBC6-434C-9903-A4404BF0EAF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2" l="1"/>
  <c r="V95" i="2"/>
  <c r="U95" i="2"/>
  <c r="T95" i="2"/>
  <c r="S95" i="2"/>
  <c r="R95" i="2"/>
  <c r="Q95" i="2"/>
  <c r="P95" i="2"/>
  <c r="O95" i="2"/>
  <c r="O74" i="2" s="1"/>
  <c r="W94" i="2"/>
  <c r="V94" i="2"/>
  <c r="U94" i="2"/>
  <c r="T94" i="2"/>
  <c r="S94" i="2"/>
  <c r="R94" i="2"/>
  <c r="Q94" i="2"/>
  <c r="P94" i="2"/>
  <c r="O94" i="2"/>
  <c r="W93" i="2"/>
  <c r="V93" i="2"/>
  <c r="U93" i="2"/>
  <c r="T93" i="2"/>
  <c r="S93" i="2"/>
  <c r="R93" i="2"/>
  <c r="R72" i="2" s="1"/>
  <c r="Q93" i="2"/>
  <c r="Q72" i="2" s="1"/>
  <c r="P93" i="2"/>
  <c r="P72" i="2" s="1"/>
  <c r="O93" i="2"/>
  <c r="O72" i="2" s="1"/>
  <c r="W92" i="2"/>
  <c r="V92" i="2"/>
  <c r="U92" i="2"/>
  <c r="T92" i="2"/>
  <c r="S92" i="2"/>
  <c r="R92" i="2"/>
  <c r="Q92" i="2"/>
  <c r="P92" i="2"/>
  <c r="O92" i="2"/>
  <c r="W91" i="2"/>
  <c r="V91" i="2"/>
  <c r="U91" i="2"/>
  <c r="T91" i="2"/>
  <c r="T70" i="2" s="1"/>
  <c r="S91" i="2"/>
  <c r="R91" i="2"/>
  <c r="Q91" i="2"/>
  <c r="P91" i="2"/>
  <c r="O91" i="2"/>
  <c r="N95" i="2"/>
  <c r="N94" i="2"/>
  <c r="N93" i="2"/>
  <c r="N92" i="2"/>
  <c r="N91" i="2"/>
  <c r="L97" i="2"/>
  <c r="W33" i="2"/>
  <c r="V33" i="2"/>
  <c r="U33" i="2"/>
  <c r="T33" i="2"/>
  <c r="S33" i="2"/>
  <c r="R33" i="2"/>
  <c r="Q33" i="2"/>
  <c r="P33" i="2"/>
  <c r="O33" i="2"/>
  <c r="W32" i="2"/>
  <c r="V32" i="2"/>
  <c r="U32" i="2"/>
  <c r="T32" i="2"/>
  <c r="S32" i="2"/>
  <c r="R32" i="2"/>
  <c r="Q32" i="2"/>
  <c r="P32" i="2"/>
  <c r="O32" i="2"/>
  <c r="W31" i="2"/>
  <c r="V31" i="2"/>
  <c r="U31" i="2"/>
  <c r="T31" i="2"/>
  <c r="S31" i="2"/>
  <c r="R31" i="2"/>
  <c r="Q31" i="2"/>
  <c r="P31" i="2"/>
  <c r="O31" i="2"/>
  <c r="W30" i="2"/>
  <c r="V30" i="2"/>
  <c r="U30" i="2"/>
  <c r="T30" i="2"/>
  <c r="S30" i="2"/>
  <c r="R30" i="2"/>
  <c r="Q30" i="2"/>
  <c r="P30" i="2"/>
  <c r="O30" i="2"/>
  <c r="W29" i="2"/>
  <c r="V29" i="2"/>
  <c r="U29" i="2"/>
  <c r="T29" i="2"/>
  <c r="S29" i="2"/>
  <c r="R29" i="2"/>
  <c r="Q29" i="2"/>
  <c r="P29" i="2"/>
  <c r="O29" i="2"/>
  <c r="O70" i="2" s="1"/>
  <c r="N33" i="2"/>
  <c r="N32" i="2"/>
  <c r="N73" i="2" s="1"/>
  <c r="N31" i="2"/>
  <c r="N30" i="2"/>
  <c r="N29" i="2"/>
  <c r="L35" i="2"/>
  <c r="Q74" i="2"/>
  <c r="P74" i="2"/>
  <c r="N74" i="2"/>
  <c r="W73" i="2"/>
  <c r="V73" i="2"/>
  <c r="U73" i="2"/>
  <c r="U72" i="2"/>
  <c r="T72" i="2"/>
  <c r="S72" i="2"/>
  <c r="N72" i="2"/>
  <c r="O71" i="2"/>
  <c r="N71" i="2"/>
  <c r="W70" i="2"/>
  <c r="V70" i="2"/>
  <c r="U70" i="2"/>
  <c r="S70" i="2"/>
  <c r="S74" i="2"/>
  <c r="R74" i="2"/>
  <c r="W72" i="2"/>
  <c r="V72" i="2"/>
  <c r="Q71" i="2"/>
  <c r="P71" i="2"/>
  <c r="W74" i="2"/>
  <c r="V74" i="2"/>
  <c r="U74" i="2"/>
  <c r="T74" i="2"/>
  <c r="P73" i="2"/>
  <c r="O73" i="2"/>
  <c r="R71" i="2"/>
  <c r="N70" i="2"/>
  <c r="S71" i="2" l="1"/>
  <c r="Q73" i="2"/>
  <c r="T71" i="2"/>
  <c r="U71" i="2"/>
  <c r="U76" i="2" s="1"/>
  <c r="P70" i="2"/>
  <c r="P76" i="2" s="1"/>
  <c r="V71" i="2"/>
  <c r="V76" i="2" s="1"/>
  <c r="R73" i="2"/>
  <c r="Q70" i="2"/>
  <c r="Q76" i="2" s="1"/>
  <c r="Q87" i="2" s="1"/>
  <c r="W71" i="2"/>
  <c r="W76" i="2" s="1"/>
  <c r="S73" i="2"/>
  <c r="S76" i="2" s="1"/>
  <c r="R70" i="2"/>
  <c r="T73" i="2"/>
  <c r="T76" i="2" s="1"/>
  <c r="R76" i="2"/>
  <c r="P84" i="2"/>
  <c r="P87" i="2"/>
  <c r="P78" i="2"/>
  <c r="O76" i="2"/>
  <c r="N76" i="2"/>
  <c r="Q78" i="2" l="1"/>
  <c r="Q84" i="2"/>
  <c r="W87" i="2"/>
  <c r="W78" i="2"/>
  <c r="W84" i="2"/>
  <c r="T87" i="2"/>
  <c r="T84" i="2"/>
  <c r="T78" i="2"/>
  <c r="N78" i="2"/>
  <c r="N84" i="2"/>
  <c r="N87" i="2"/>
  <c r="S84" i="2"/>
  <c r="S87" i="2"/>
  <c r="S78" i="2"/>
  <c r="O84" i="2"/>
  <c r="O78" i="2"/>
  <c r="O87" i="2"/>
  <c r="V78" i="2"/>
  <c r="V87" i="2"/>
  <c r="V84" i="2"/>
  <c r="U87" i="2"/>
  <c r="U84" i="2"/>
  <c r="U78" i="2"/>
  <c r="R84" i="2"/>
  <c r="R87" i="2"/>
  <c r="R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<sst xmlns="http://schemas.openxmlformats.org/spreadsheetml/2006/main" count="171" uniqueCount="80">
  <si>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</si>
  <si>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</si>
  <si>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</si>
  <si>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</si>
  <si>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</si>
  <si>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</si>
  <si>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</si>
  <si>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</si>
  <si>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</si>
  <si>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5:35:42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</si>
  <si>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</si>
  <si>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</si>
  <si>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</si>
  <si>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</si>
  <si>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</si>
  <si>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</si>
  <si>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</si>
  <si>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</si>
  <si>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</si>
  <si>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</si>
  <si>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</si>
  <si>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</si>
  <si>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</si>
  <si>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</si>
  <si>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</si>
  <si>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</si>
  <si>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</si>
  <si>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</si>
  <si>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</si>
  <si>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</si>
  <si>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</si>
  <si>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</si>
  <si>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</si>
  <si>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9/29/2025 5:35:47 PM</t>
  </si>
  <si>
    <t>Temperature: 26.8 °C</t>
  </si>
  <si>
    <t>&lt;&gt;</t>
  </si>
  <si>
    <t>B</t>
  </si>
  <si>
    <t>C</t>
  </si>
  <si>
    <t>D</t>
  </si>
  <si>
    <t>E</t>
  </si>
  <si>
    <t>F</t>
  </si>
  <si>
    <t>End Time:</t>
  </si>
  <si>
    <t>9/29/2025 5:36:13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</si>
  <si>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</si>
  <si>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</si>
  <si>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</si>
  <si>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</si>
  <si>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</si>
  <si>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</si>
  <si>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</si>
  <si>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</si>
  <si>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</si>
  <si>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</si>
  <si>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</si>
  <si>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</si>
  <si>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</si>
  <si>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9/29/2025 5:36:18 PM</t>
  </si>
  <si>
    <t>9/29/2025 5:37:06 PM</t>
  </si>
  <si>
    <t>Label: gfp 80</t>
  </si>
  <si>
    <t>9/29/2025 5:37:14 PM</t>
  </si>
  <si>
    <t>Temperature: 26.9 °C</t>
  </si>
  <si>
    <t>9/29/2025 5:38:02 PM</t>
  </si>
  <si>
    <t>Label: gfp100</t>
  </si>
  <si>
    <t>9/29/2025 5:38:09 PM</t>
  </si>
  <si>
    <t>OVER</t>
  </si>
  <si>
    <t>9/29/2025 5:38:58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</si>
  <si>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</si>
  <si>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</si>
  <si>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</si>
  <si>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</si>
  <si>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</si>
  <si>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</si>
  <si>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</si>
  <si>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</si>
  <si>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</si>
  <si>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D12</t>
  </si>
  <si>
    <t>D7</t>
  </si>
  <si>
    <t>D17/D7</t>
  </si>
  <si>
    <t>D17/D12</t>
  </si>
  <si>
    <t>D17/D1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</si>
</sst>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6" workbookViewId="0">
      <selection activeCell="M79" sqref="M7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45929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1.1222000122070312</v>
      </c>
      <c r="C29">
        <v>1.1363999843597412</v>
      </c>
      <c r="D29">
        <v>1.2081999778747559</v>
      </c>
      <c r="E29">
        <v>1.1469999551773071</v>
      </c>
      <c r="F29">
        <v>1.0575000047683716</v>
      </c>
      <c r="G29">
        <v>1.1470999717712402</v>
      </c>
      <c r="H29">
        <v>1.2350000143051147</v>
      </c>
      <c r="I29">
        <v>1.1525000333786011</v>
      </c>
      <c r="J29">
        <v>1.176300048828125</v>
      </c>
      <c r="K29">
        <v>1.2073999643325806</v>
      </c>
      <c r="L29">
        <v>3.9500001817941666E-2</v>
      </c>
      <c r="N29">
        <f>B29-0.04</f>
        <v>1.0822000122070312</v>
      </c>
      <c r="O29">
        <f t="shared" ref="O29:O33" si="0">C29-0.04</f>
        <v>1.0963999843597412</v>
      </c>
      <c r="P29">
        <f t="shared" ref="P29:P33" si="1">D29-0.04</f>
        <v>1.1681999778747558</v>
      </c>
      <c r="Q29">
        <f t="shared" ref="Q29:Q33" si="2">E29-0.04</f>
        <v>1.1069999551773071</v>
      </c>
      <c r="R29">
        <f t="shared" ref="R29:R33" si="3">F29-0.04</f>
        <v>1.0175000047683715</v>
      </c>
      <c r="S29">
        <f t="shared" ref="S29:S33" si="4">G29-0.04</f>
        <v>1.1070999717712402</v>
      </c>
      <c r="T29">
        <f t="shared" ref="T29:T33" si="5">H29-0.04</f>
        <v>1.1950000143051147</v>
      </c>
      <c r="U29">
        <f t="shared" ref="U29:U33" si="6">I29-0.04</f>
        <v>1.112500033378601</v>
      </c>
      <c r="V29">
        <f t="shared" ref="V29:V33" si="7">J29-0.04</f>
        <v>1.136300048828125</v>
      </c>
      <c r="W29">
        <f t="shared" ref="W29:W33" si="8">K29-0.04</f>
        <v>1.1673999643325805</v>
      </c>
    </row>
    <row r="30" spans="1:23" x14ac:dyDescent="0.2">
      <c r="A30" s="4" t="s">
        <v>37</v>
      </c>
      <c r="B30">
        <v>1.1359000205993652</v>
      </c>
      <c r="C30">
        <v>1.1068999767303467</v>
      </c>
      <c r="D30">
        <v>1.1284999847412109</v>
      </c>
      <c r="E30">
        <v>1.0562000274658203</v>
      </c>
      <c r="F30">
        <v>1.0652999877929688</v>
      </c>
      <c r="G30">
        <v>0.91900002956390381</v>
      </c>
      <c r="H30">
        <v>1.2023999691009521</v>
      </c>
      <c r="I30">
        <v>1.1146999597549438</v>
      </c>
      <c r="J30">
        <v>0.82730001211166382</v>
      </c>
      <c r="K30">
        <v>1.2366000413894653</v>
      </c>
      <c r="L30">
        <v>3.9900001138448715E-2</v>
      </c>
      <c r="N30">
        <f t="shared" ref="N30:N33" si="9">B30-0.04</f>
        <v>1.0959000205993652</v>
      </c>
      <c r="O30">
        <f t="shared" si="0"/>
        <v>1.0668999767303466</v>
      </c>
      <c r="P30">
        <f t="shared" si="1"/>
        <v>1.0884999847412109</v>
      </c>
      <c r="Q30">
        <f t="shared" si="2"/>
        <v>1.0162000274658203</v>
      </c>
      <c r="R30">
        <f t="shared" si="3"/>
        <v>1.0252999877929687</v>
      </c>
      <c r="S30">
        <f t="shared" si="4"/>
        <v>0.87900002956390377</v>
      </c>
      <c r="T30">
        <f t="shared" si="5"/>
        <v>1.1623999691009521</v>
      </c>
      <c r="U30">
        <f t="shared" si="6"/>
        <v>1.0746999597549438</v>
      </c>
      <c r="V30">
        <f t="shared" si="7"/>
        <v>0.78730001211166378</v>
      </c>
      <c r="W30">
        <f t="shared" si="8"/>
        <v>1.1966000413894653</v>
      </c>
    </row>
    <row r="31" spans="1:23" x14ac:dyDescent="0.2">
      <c r="A31" s="4" t="s">
        <v>38</v>
      </c>
      <c r="B31">
        <v>1.1480000019073486</v>
      </c>
      <c r="C31">
        <v>1.0785000324249268</v>
      </c>
      <c r="D31">
        <v>1.1936999559402466</v>
      </c>
      <c r="E31">
        <v>1.0621999502182007</v>
      </c>
      <c r="F31">
        <v>1.104200005531311</v>
      </c>
      <c r="G31">
        <v>0.99419999122619629</v>
      </c>
      <c r="H31">
        <v>1.2619999647140503</v>
      </c>
      <c r="I31">
        <v>1.2056000232696533</v>
      </c>
      <c r="J31">
        <v>0.81959998607635498</v>
      </c>
      <c r="K31">
        <v>1.0454000234603882</v>
      </c>
      <c r="L31">
        <v>3.9900001138448715E-2</v>
      </c>
      <c r="N31">
        <f t="shared" si="9"/>
        <v>1.1080000019073486</v>
      </c>
      <c r="O31">
        <f t="shared" si="0"/>
        <v>1.0385000324249267</v>
      </c>
      <c r="P31">
        <f t="shared" si="1"/>
        <v>1.1536999559402465</v>
      </c>
      <c r="Q31">
        <f t="shared" si="2"/>
        <v>1.0221999502182006</v>
      </c>
      <c r="R31">
        <f t="shared" si="3"/>
        <v>1.064200005531311</v>
      </c>
      <c r="S31">
        <f t="shared" si="4"/>
        <v>0.95419999122619625</v>
      </c>
      <c r="T31">
        <f t="shared" si="5"/>
        <v>1.2219999647140503</v>
      </c>
      <c r="U31">
        <f t="shared" si="6"/>
        <v>1.1656000232696533</v>
      </c>
      <c r="V31">
        <f t="shared" si="7"/>
        <v>0.77959998607635494</v>
      </c>
      <c r="W31">
        <f t="shared" si="8"/>
        <v>1.0054000234603881</v>
      </c>
    </row>
    <row r="32" spans="1:23" x14ac:dyDescent="0.2">
      <c r="A32" s="4" t="s">
        <v>39</v>
      </c>
      <c r="B32">
        <v>1.0145000219345093</v>
      </c>
      <c r="C32">
        <v>0.9901999831199646</v>
      </c>
      <c r="D32">
        <v>1.0475000143051147</v>
      </c>
      <c r="E32">
        <v>0.76609998941421509</v>
      </c>
      <c r="F32">
        <v>1.0194000005722046</v>
      </c>
      <c r="G32">
        <v>1.2222000360488892</v>
      </c>
      <c r="H32">
        <v>0.94669997692108154</v>
      </c>
      <c r="I32">
        <v>0.93519997596740723</v>
      </c>
      <c r="J32">
        <v>1.1641000509262085</v>
      </c>
      <c r="K32">
        <v>1.1531000137329102</v>
      </c>
      <c r="L32">
        <v>4.4300001114606857E-2</v>
      </c>
      <c r="N32">
        <f t="shared" si="9"/>
        <v>0.97450002193450924</v>
      </c>
      <c r="O32">
        <f t="shared" si="0"/>
        <v>0.95019998311996456</v>
      </c>
      <c r="P32">
        <f t="shared" si="1"/>
        <v>1.0075000143051147</v>
      </c>
      <c r="Q32">
        <f t="shared" si="2"/>
        <v>0.72609998941421505</v>
      </c>
      <c r="R32">
        <f t="shared" si="3"/>
        <v>0.97940000057220455</v>
      </c>
      <c r="S32">
        <f t="shared" si="4"/>
        <v>1.1822000360488891</v>
      </c>
      <c r="T32">
        <f t="shared" si="5"/>
        <v>0.90669997692108151</v>
      </c>
      <c r="U32">
        <f t="shared" si="6"/>
        <v>0.89519997596740719</v>
      </c>
      <c r="V32">
        <f t="shared" si="7"/>
        <v>1.1241000509262085</v>
      </c>
      <c r="W32">
        <f t="shared" si="8"/>
        <v>1.1131000137329101</v>
      </c>
    </row>
    <row r="33" spans="1:23" x14ac:dyDescent="0.2">
      <c r="A33" s="4" t="s">
        <v>40</v>
      </c>
      <c r="B33">
        <v>0.86070001125335693</v>
      </c>
      <c r="C33">
        <v>0.91439998149871826</v>
      </c>
      <c r="D33">
        <v>1.0140000581741333</v>
      </c>
      <c r="E33">
        <v>0.93819999694824219</v>
      </c>
      <c r="F33">
        <v>1.1497000455856323</v>
      </c>
      <c r="G33">
        <v>1.0283999443054199</v>
      </c>
      <c r="H33">
        <v>1.1909999847412109</v>
      </c>
      <c r="I33">
        <v>0.98960000276565552</v>
      </c>
      <c r="J33">
        <v>1.1234999895095825</v>
      </c>
      <c r="K33">
        <v>0.91600000858306885</v>
      </c>
      <c r="L33">
        <v>4.4500000774860382E-2</v>
      </c>
      <c r="N33">
        <f t="shared" si="9"/>
        <v>0.8207000112533569</v>
      </c>
      <c r="O33">
        <f t="shared" si="0"/>
        <v>0.87439998149871823</v>
      </c>
      <c r="P33">
        <f t="shared" si="1"/>
        <v>0.97400005817413327</v>
      </c>
      <c r="Q33">
        <f t="shared" si="2"/>
        <v>0.89819999694824215</v>
      </c>
      <c r="R33">
        <f t="shared" si="3"/>
        <v>1.1097000455856323</v>
      </c>
      <c r="S33">
        <f t="shared" si="4"/>
        <v>0.98839994430541989</v>
      </c>
      <c r="T33">
        <f t="shared" si="5"/>
        <v>1.1509999847412109</v>
      </c>
      <c r="U33">
        <f t="shared" si="6"/>
        <v>0.94960000276565548</v>
      </c>
      <c r="V33">
        <f t="shared" si="7"/>
        <v>1.0834999895095825</v>
      </c>
      <c r="W33">
        <f t="shared" si="8"/>
        <v>0.87600000858306881</v>
      </c>
    </row>
    <row r="35" spans="1:23" x14ac:dyDescent="0.2">
      <c r="L35">
        <f>AVERAGE(L29:L31)</f>
        <v>3.976666803161303E-2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34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78</v>
      </c>
      <c r="C60">
        <v>477</v>
      </c>
      <c r="D60">
        <v>211</v>
      </c>
      <c r="E60">
        <v>404</v>
      </c>
      <c r="F60">
        <v>107</v>
      </c>
      <c r="G60">
        <v>84</v>
      </c>
      <c r="H60">
        <v>464</v>
      </c>
      <c r="I60">
        <v>196</v>
      </c>
      <c r="J60">
        <v>227</v>
      </c>
      <c r="K60">
        <v>100</v>
      </c>
      <c r="L60">
        <v>60</v>
      </c>
    </row>
    <row r="61" spans="1:12" x14ac:dyDescent="0.2">
      <c r="A61" s="4" t="s">
        <v>37</v>
      </c>
      <c r="B61">
        <v>76</v>
      </c>
      <c r="C61">
        <v>476</v>
      </c>
      <c r="D61">
        <v>215</v>
      </c>
      <c r="E61">
        <v>214</v>
      </c>
      <c r="F61">
        <v>114</v>
      </c>
      <c r="G61">
        <v>79</v>
      </c>
      <c r="H61">
        <v>422</v>
      </c>
      <c r="I61">
        <v>216</v>
      </c>
      <c r="J61">
        <v>121</v>
      </c>
      <c r="K61">
        <v>96</v>
      </c>
      <c r="L61">
        <v>59</v>
      </c>
    </row>
    <row r="62" spans="1:12" x14ac:dyDescent="0.2">
      <c r="A62" s="4" t="s">
        <v>38</v>
      </c>
      <c r="B62">
        <v>79</v>
      </c>
      <c r="C62">
        <v>426</v>
      </c>
      <c r="D62">
        <v>261</v>
      </c>
      <c r="E62">
        <v>202</v>
      </c>
      <c r="F62">
        <v>110</v>
      </c>
      <c r="G62">
        <v>77</v>
      </c>
      <c r="H62">
        <v>461</v>
      </c>
      <c r="I62">
        <v>232</v>
      </c>
      <c r="J62">
        <v>137</v>
      </c>
      <c r="K62">
        <v>99</v>
      </c>
      <c r="L62">
        <v>59</v>
      </c>
    </row>
    <row r="63" spans="1:12" x14ac:dyDescent="0.2">
      <c r="A63" s="4" t="s">
        <v>39</v>
      </c>
      <c r="B63">
        <v>85</v>
      </c>
      <c r="C63">
        <v>382</v>
      </c>
      <c r="D63">
        <v>185</v>
      </c>
      <c r="E63">
        <v>172</v>
      </c>
      <c r="F63">
        <v>107</v>
      </c>
      <c r="G63">
        <v>83</v>
      </c>
      <c r="H63">
        <v>281</v>
      </c>
      <c r="I63">
        <v>168</v>
      </c>
      <c r="J63">
        <v>182</v>
      </c>
      <c r="K63">
        <v>95</v>
      </c>
      <c r="L63">
        <v>8</v>
      </c>
    </row>
    <row r="64" spans="1:12" x14ac:dyDescent="0.2">
      <c r="A64" s="4" t="s">
        <v>40</v>
      </c>
      <c r="B64">
        <v>72</v>
      </c>
      <c r="C64">
        <v>305</v>
      </c>
      <c r="D64">
        <v>185</v>
      </c>
      <c r="E64">
        <v>151</v>
      </c>
      <c r="F64">
        <v>101</v>
      </c>
      <c r="G64">
        <v>81</v>
      </c>
      <c r="H64">
        <v>407</v>
      </c>
      <c r="I64">
        <v>196</v>
      </c>
      <c r="J64">
        <v>193</v>
      </c>
      <c r="K64">
        <v>80</v>
      </c>
      <c r="L64">
        <v>7</v>
      </c>
    </row>
    <row r="67" spans="1:23" x14ac:dyDescent="0.2">
      <c r="N67" s="19" t="s">
        <v>66</v>
      </c>
      <c r="O67" s="19"/>
      <c r="P67" s="19"/>
      <c r="Q67" s="19"/>
      <c r="R67" t="s">
        <v>67</v>
      </c>
      <c r="S67" s="19" t="s">
        <v>66</v>
      </c>
      <c r="T67" s="19"/>
      <c r="U67" s="19"/>
      <c r="V67" s="19"/>
      <c r="W67" t="s">
        <v>67</v>
      </c>
    </row>
    <row r="68" spans="1:23" x14ac:dyDescent="0.2">
      <c r="N68" s="19" t="s">
        <v>68</v>
      </c>
      <c r="O68" s="19"/>
      <c r="P68" s="19"/>
      <c r="Q68" s="19"/>
      <c r="R68" s="19"/>
      <c r="S68" s="19" t="s">
        <v>69</v>
      </c>
      <c r="T68" s="19"/>
      <c r="U68" s="19"/>
      <c r="V68" s="19"/>
      <c r="W68" s="19"/>
    </row>
    <row r="69" spans="1:23" ht="16" thickBot="1" x14ac:dyDescent="0.25">
      <c r="A69" t="s">
        <v>41</v>
      </c>
      <c r="B69" s="2" t="s">
        <v>57</v>
      </c>
      <c r="N69" t="s">
        <v>70</v>
      </c>
      <c r="O69" t="s">
        <v>71</v>
      </c>
      <c r="P69" t="s">
        <v>72</v>
      </c>
      <c r="Q69" t="s">
        <v>73</v>
      </c>
      <c r="R69" t="s">
        <v>74</v>
      </c>
      <c r="S69" t="s">
        <v>70</v>
      </c>
      <c r="T69" t="s">
        <v>71</v>
      </c>
      <c r="U69" t="s">
        <v>72</v>
      </c>
      <c r="V69" t="s">
        <v>73</v>
      </c>
      <c r="W69" t="s">
        <v>74</v>
      </c>
    </row>
    <row r="70" spans="1:23" x14ac:dyDescent="0.2">
      <c r="N70" s="6">
        <f>N91/N29</f>
        <v>512.84420046173977</v>
      </c>
      <c r="O70" s="7">
        <f t="shared" ref="O70:W70" si="10">O91/O29</f>
        <v>10751.55068237599</v>
      </c>
      <c r="P70" s="7">
        <f t="shared" si="10"/>
        <v>3709.125220052475</v>
      </c>
      <c r="Q70" s="7">
        <f t="shared" si="10"/>
        <v>8808.4917749054403</v>
      </c>
      <c r="R70" s="8">
        <f t="shared" si="10"/>
        <v>1350.3685440402369</v>
      </c>
      <c r="S70" s="6">
        <f t="shared" si="10"/>
        <v>650.34777197950598</v>
      </c>
      <c r="T70" s="7">
        <f t="shared" si="10"/>
        <v>9526.3597185977669</v>
      </c>
      <c r="U70" s="7">
        <f t="shared" si="10"/>
        <v>3442.6965259214439</v>
      </c>
      <c r="V70" s="7">
        <f t="shared" si="10"/>
        <v>4186.3942581943311</v>
      </c>
      <c r="W70" s="8">
        <f t="shared" si="10"/>
        <v>1016.7894776993805</v>
      </c>
    </row>
    <row r="71" spans="1:23" x14ac:dyDescent="0.2">
      <c r="N71" s="9">
        <f t="shared" ref="N71:W74" si="11">N92/N30</f>
        <v>445.29609528897083</v>
      </c>
      <c r="O71">
        <f t="shared" si="11"/>
        <v>11008.529624299061</v>
      </c>
      <c r="P71">
        <f t="shared" si="11"/>
        <v>4084.5200388836288</v>
      </c>
      <c r="Q71">
        <f t="shared" si="11"/>
        <v>4295.4141724295678</v>
      </c>
      <c r="R71" s="10">
        <f t="shared" si="11"/>
        <v>1540.0370806586177</v>
      </c>
      <c r="S71" s="9">
        <f t="shared" si="11"/>
        <v>645.05117284387848</v>
      </c>
      <c r="T71">
        <f t="shared" si="11"/>
        <v>8832.5879842726772</v>
      </c>
      <c r="U71">
        <f t="shared" si="11"/>
        <v>4164.8833791904399</v>
      </c>
      <c r="V71">
        <f t="shared" si="11"/>
        <v>2225.3270329576872</v>
      </c>
      <c r="W71" s="10">
        <f t="shared" si="11"/>
        <v>885.84319182301851</v>
      </c>
    </row>
    <row r="72" spans="1:23" x14ac:dyDescent="0.2">
      <c r="N72" s="9">
        <f t="shared" si="11"/>
        <v>470.21660568874819</v>
      </c>
      <c r="O72">
        <f t="shared" si="11"/>
        <v>9906.5957426859495</v>
      </c>
      <c r="P72">
        <f t="shared" si="11"/>
        <v>4944.9598837424919</v>
      </c>
      <c r="Q72">
        <f t="shared" si="11"/>
        <v>3920.9549943183279</v>
      </c>
      <c r="R72" s="10">
        <f t="shared" si="11"/>
        <v>1342.7927011582372</v>
      </c>
      <c r="S72" s="9">
        <f t="shared" si="11"/>
        <v>543.91113474341807</v>
      </c>
      <c r="T72">
        <f t="shared" si="11"/>
        <v>9212.7662234707095</v>
      </c>
      <c r="U72">
        <f t="shared" si="11"/>
        <v>4182.3952493798151</v>
      </c>
      <c r="V72">
        <f t="shared" si="11"/>
        <v>2839.9179573396736</v>
      </c>
      <c r="W72" s="10">
        <f t="shared" si="11"/>
        <v>1107.0220549321991</v>
      </c>
    </row>
    <row r="73" spans="1:23" x14ac:dyDescent="0.2">
      <c r="N73" s="9">
        <f t="shared" si="11"/>
        <v>711.13389882157719</v>
      </c>
      <c r="O73">
        <f t="shared" si="11"/>
        <v>9585.3506228173628</v>
      </c>
      <c r="P73">
        <f t="shared" si="11"/>
        <v>3524.5657067798347</v>
      </c>
      <c r="Q73">
        <f t="shared" si="11"/>
        <v>4402.974861050744</v>
      </c>
      <c r="R73" s="10">
        <f t="shared" si="11"/>
        <v>1350.8270361721979</v>
      </c>
      <c r="S73" s="9">
        <f t="shared" si="11"/>
        <v>585.34933082287841</v>
      </c>
      <c r="T73">
        <f t="shared" si="11"/>
        <v>6942.7596340921846</v>
      </c>
      <c r="U73">
        <f t="shared" si="11"/>
        <v>3424.9330678172719</v>
      </c>
      <c r="V73">
        <f t="shared" si="11"/>
        <v>3071.7906267817366</v>
      </c>
      <c r="W73" s="10">
        <f t="shared" si="11"/>
        <v>920.85166413981392</v>
      </c>
    </row>
    <row r="74" spans="1:23" ht="16" thickBot="1" x14ac:dyDescent="0.25">
      <c r="A74" t="s">
        <v>58</v>
      </c>
      <c r="N74" s="11">
        <f t="shared" si="11"/>
        <v>431.33909485315854</v>
      </c>
      <c r="O74" s="12">
        <f t="shared" si="11"/>
        <v>7924.2911100292113</v>
      </c>
      <c r="P74" s="12">
        <f t="shared" si="11"/>
        <v>3648.8704186140926</v>
      </c>
      <c r="Q74" s="12">
        <f t="shared" si="11"/>
        <v>2919.1716866049933</v>
      </c>
      <c r="R74" s="13">
        <f t="shared" si="11"/>
        <v>1064.2515558127602</v>
      </c>
      <c r="S74" s="11">
        <f t="shared" si="11"/>
        <v>659.65199993832573</v>
      </c>
      <c r="T74" s="12">
        <f t="shared" si="11"/>
        <v>8542.1373851804274</v>
      </c>
      <c r="U74" s="12">
        <f t="shared" si="11"/>
        <v>4056.444807056941</v>
      </c>
      <c r="V74" s="12">
        <f t="shared" si="11"/>
        <v>3485.9252760210534</v>
      </c>
      <c r="W74" s="13">
        <f t="shared" si="11"/>
        <v>679.22373763718713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12">AVERAGE(N70:N74)</f>
        <v>514.16597902283888</v>
      </c>
      <c r="O76">
        <f t="shared" si="12"/>
        <v>9835.2635564415141</v>
      </c>
      <c r="P76">
        <f t="shared" si="12"/>
        <v>3982.4082536145047</v>
      </c>
      <c r="Q76">
        <f t="shared" si="12"/>
        <v>4869.4014978618152</v>
      </c>
      <c r="R76">
        <f t="shared" si="12"/>
        <v>1329.6553835684099</v>
      </c>
      <c r="S76">
        <f t="shared" si="12"/>
        <v>616.86228206560133</v>
      </c>
      <c r="T76">
        <f t="shared" si="12"/>
        <v>8611.3221891227531</v>
      </c>
      <c r="U76">
        <f t="shared" si="12"/>
        <v>3854.2706058731819</v>
      </c>
      <c r="V76">
        <f t="shared" si="12"/>
        <v>3161.8710302588961</v>
      </c>
      <c r="W76">
        <f t="shared" si="12"/>
        <v>921.94602524631978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M78" t="s">
        <v>79</v>
      </c>
      <c r="N78" s="14">
        <f>N76/974</f>
        <v>0.52789114889408506</v>
      </c>
      <c r="O78" s="15">
        <f>O76/10336</f>
        <v>0.95155413665262323</v>
      </c>
      <c r="P78" s="15">
        <f>P76/16798</f>
        <v>0.23707633370725709</v>
      </c>
      <c r="Q78" s="15">
        <f>Q76/40900</f>
        <v>0.11905627134136468</v>
      </c>
      <c r="R78" s="14">
        <f>R76/1809</f>
        <v>0.73502232369729681</v>
      </c>
      <c r="S78">
        <f>S76/895</f>
        <v>0.68923160007329753</v>
      </c>
      <c r="T78" s="15">
        <f>T76/10832</f>
        <v>0.79498912381118469</v>
      </c>
      <c r="U78" s="15">
        <f>U76/17626</f>
        <v>0.21866961340481006</v>
      </c>
      <c r="V78" s="15">
        <f>V76/52231</f>
        <v>6.0536291287911319E-2</v>
      </c>
      <c r="W78">
        <f>W76/1938</f>
        <v>0.47572034326435492</v>
      </c>
    </row>
    <row r="79" spans="1:23" x14ac:dyDescent="0.2">
      <c r="A79" t="s">
        <v>48</v>
      </c>
      <c r="E79">
        <v>20</v>
      </c>
      <c r="F79" t="s">
        <v>25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  <c r="M83" t="s">
        <v>75</v>
      </c>
      <c r="N83">
        <v>884.30419678949022</v>
      </c>
      <c r="O83">
        <v>9467.1119959733023</v>
      </c>
      <c r="P83">
        <v>4292.0614771064074</v>
      </c>
      <c r="Q83">
        <v>3200.6581217613343</v>
      </c>
      <c r="R83">
        <v>1641.5480265932845</v>
      </c>
      <c r="S83">
        <v>1014.4985142969326</v>
      </c>
      <c r="T83">
        <v>6540.8131678551936</v>
      </c>
      <c r="U83">
        <v>3326.0919975396782</v>
      </c>
      <c r="V83">
        <v>1689.8628387652054</v>
      </c>
      <c r="W83">
        <v>1545.5791580880066</v>
      </c>
    </row>
    <row r="84" spans="1:23" x14ac:dyDescent="0.2">
      <c r="A84" t="s">
        <v>28</v>
      </c>
      <c r="E84">
        <v>0</v>
      </c>
      <c r="F84" t="s">
        <v>29</v>
      </c>
      <c r="M84" t="s">
        <v>78</v>
      </c>
      <c r="N84">
        <f>N76/N83</f>
        <v>0.58143564272288173</v>
      </c>
      <c r="O84" s="14">
        <f t="shared" ref="O84:W84" si="13">O76/O83</f>
        <v>1.0388874200099036</v>
      </c>
      <c r="P84" s="14">
        <f t="shared" si="13"/>
        <v>0.92785442959203313</v>
      </c>
      <c r="Q84" s="14">
        <f>Q76/Q83</f>
        <v>1.5213750774425621</v>
      </c>
      <c r="R84">
        <f t="shared" si="13"/>
        <v>0.81000090282332615</v>
      </c>
      <c r="S84">
        <f t="shared" si="13"/>
        <v>0.60804651103220098</v>
      </c>
      <c r="T84" s="14">
        <f t="shared" si="13"/>
        <v>1.3165522341232845</v>
      </c>
      <c r="U84" s="14">
        <f t="shared" si="13"/>
        <v>1.1587985566016212</v>
      </c>
      <c r="V84" s="14">
        <f>V76/V83</f>
        <v>1.871081461599154</v>
      </c>
      <c r="W84">
        <f t="shared" si="13"/>
        <v>0.59650521322171157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30</v>
      </c>
      <c r="E86" t="s">
        <v>31</v>
      </c>
      <c r="M86" t="s">
        <v>76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32</v>
      </c>
      <c r="B87" s="2" t="s">
        <v>59</v>
      </c>
      <c r="M87" t="s">
        <v>77</v>
      </c>
      <c r="N87" s="16">
        <f>N76/N86</f>
        <v>0.38592396914144322</v>
      </c>
      <c r="O87" s="17">
        <f t="shared" ref="O87:W87" si="14">O76/O86</f>
        <v>0.80938027718353422</v>
      </c>
      <c r="P87" s="17">
        <f t="shared" si="14"/>
        <v>0.39889907837421851</v>
      </c>
      <c r="Q87" s="17">
        <f t="shared" si="14"/>
        <v>0.3476729092878717</v>
      </c>
      <c r="R87" s="18">
        <f t="shared" si="14"/>
        <v>0.58669479421530146</v>
      </c>
      <c r="S87" s="16">
        <f t="shared" si="14"/>
        <v>0.45366049669609332</v>
      </c>
      <c r="T87" s="17">
        <f t="shared" si="14"/>
        <v>0.67793614725108498</v>
      </c>
      <c r="U87" s="17">
        <f t="shared" si="14"/>
        <v>0.3235294347811869</v>
      </c>
      <c r="V87" s="17">
        <f t="shared" si="14"/>
        <v>0.26468103123949954</v>
      </c>
      <c r="W87" s="18">
        <f t="shared" si="14"/>
        <v>0.37449258586157352</v>
      </c>
    </row>
    <row r="89" spans="1:23" x14ac:dyDescent="0.2">
      <c r="B89" t="s">
        <v>60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2203</v>
      </c>
      <c r="C91">
        <v>13436</v>
      </c>
      <c r="D91">
        <v>5981</v>
      </c>
      <c r="E91">
        <v>11399</v>
      </c>
      <c r="F91">
        <v>3022</v>
      </c>
      <c r="G91">
        <v>2368</v>
      </c>
      <c r="H91">
        <v>13032</v>
      </c>
      <c r="I91">
        <v>5478</v>
      </c>
      <c r="J91">
        <v>6405</v>
      </c>
      <c r="K91">
        <v>2835</v>
      </c>
      <c r="L91">
        <v>1652</v>
      </c>
      <c r="N91">
        <f>B91-1648</f>
        <v>555</v>
      </c>
      <c r="O91">
        <f t="shared" ref="O91:O95" si="15">C91-1648</f>
        <v>11788</v>
      </c>
      <c r="P91">
        <f t="shared" ref="P91:P95" si="16">D91-1648</f>
        <v>4333</v>
      </c>
      <c r="Q91">
        <f t="shared" ref="Q91:Q95" si="17">E91-1648</f>
        <v>9751</v>
      </c>
      <c r="R91">
        <f t="shared" ref="R91:R95" si="18">F91-1648</f>
        <v>1374</v>
      </c>
      <c r="S91">
        <f t="shared" ref="S91:S95" si="19">G91-1648</f>
        <v>720</v>
      </c>
      <c r="T91">
        <f t="shared" ref="T91:T95" si="20">H91-1648</f>
        <v>11384</v>
      </c>
      <c r="U91">
        <f t="shared" ref="U91:U95" si="21">I91-1648</f>
        <v>3830</v>
      </c>
      <c r="V91">
        <f t="shared" ref="V91:V95" si="22">J91-1648</f>
        <v>4757</v>
      </c>
      <c r="W91">
        <f t="shared" ref="W91:W95" si="23">K91-1648</f>
        <v>1187</v>
      </c>
    </row>
    <row r="92" spans="1:23" x14ac:dyDescent="0.2">
      <c r="A92" s="4" t="s">
        <v>37</v>
      </c>
      <c r="B92">
        <v>2136</v>
      </c>
      <c r="C92">
        <v>13393</v>
      </c>
      <c r="D92">
        <v>6094</v>
      </c>
      <c r="E92">
        <v>6013</v>
      </c>
      <c r="F92">
        <v>3227</v>
      </c>
      <c r="G92">
        <v>2215</v>
      </c>
      <c r="H92">
        <v>11915</v>
      </c>
      <c r="I92">
        <v>6124</v>
      </c>
      <c r="J92">
        <v>3400</v>
      </c>
      <c r="K92">
        <v>2708</v>
      </c>
      <c r="L92">
        <v>1646</v>
      </c>
      <c r="N92">
        <f t="shared" ref="N92:N95" si="24">B92-1648</f>
        <v>488</v>
      </c>
      <c r="O92">
        <f t="shared" si="15"/>
        <v>11745</v>
      </c>
      <c r="P92">
        <f t="shared" si="16"/>
        <v>4446</v>
      </c>
      <c r="Q92">
        <f t="shared" si="17"/>
        <v>4365</v>
      </c>
      <c r="R92">
        <f t="shared" si="18"/>
        <v>1579</v>
      </c>
      <c r="S92">
        <f t="shared" si="19"/>
        <v>567</v>
      </c>
      <c r="T92">
        <f t="shared" si="20"/>
        <v>10267</v>
      </c>
      <c r="U92">
        <f t="shared" si="21"/>
        <v>4476</v>
      </c>
      <c r="V92">
        <f t="shared" si="22"/>
        <v>1752</v>
      </c>
      <c r="W92">
        <f t="shared" si="23"/>
        <v>1060</v>
      </c>
    </row>
    <row r="93" spans="1:23" x14ac:dyDescent="0.2">
      <c r="A93" s="4" t="s">
        <v>38</v>
      </c>
      <c r="B93">
        <v>2169</v>
      </c>
      <c r="C93">
        <v>11936</v>
      </c>
      <c r="D93">
        <v>7353</v>
      </c>
      <c r="E93">
        <v>5656</v>
      </c>
      <c r="F93">
        <v>3077</v>
      </c>
      <c r="G93">
        <v>2167</v>
      </c>
      <c r="H93">
        <v>12906</v>
      </c>
      <c r="I93">
        <v>6523</v>
      </c>
      <c r="J93">
        <v>3862</v>
      </c>
      <c r="K93">
        <v>2761</v>
      </c>
      <c r="L93">
        <v>1646</v>
      </c>
      <c r="N93">
        <f t="shared" si="24"/>
        <v>521</v>
      </c>
      <c r="O93">
        <f t="shared" si="15"/>
        <v>10288</v>
      </c>
      <c r="P93">
        <f t="shared" si="16"/>
        <v>5705</v>
      </c>
      <c r="Q93">
        <f t="shared" si="17"/>
        <v>4008</v>
      </c>
      <c r="R93">
        <f t="shared" si="18"/>
        <v>1429</v>
      </c>
      <c r="S93">
        <f t="shared" si="19"/>
        <v>519</v>
      </c>
      <c r="T93">
        <f t="shared" si="20"/>
        <v>11258</v>
      </c>
      <c r="U93">
        <f t="shared" si="21"/>
        <v>4875</v>
      </c>
      <c r="V93">
        <f t="shared" si="22"/>
        <v>2214</v>
      </c>
      <c r="W93">
        <f t="shared" si="23"/>
        <v>1113</v>
      </c>
    </row>
    <row r="94" spans="1:23" x14ac:dyDescent="0.2">
      <c r="A94" s="4" t="s">
        <v>39</v>
      </c>
      <c r="B94">
        <v>2341</v>
      </c>
      <c r="C94">
        <v>10756</v>
      </c>
      <c r="D94">
        <v>5199</v>
      </c>
      <c r="E94">
        <v>4845</v>
      </c>
      <c r="F94">
        <v>2971</v>
      </c>
      <c r="G94">
        <v>2340</v>
      </c>
      <c r="H94">
        <v>7943</v>
      </c>
      <c r="I94">
        <v>4714</v>
      </c>
      <c r="J94">
        <v>5101</v>
      </c>
      <c r="K94">
        <v>2673</v>
      </c>
      <c r="L94">
        <v>184</v>
      </c>
      <c r="N94">
        <f t="shared" si="24"/>
        <v>693</v>
      </c>
      <c r="O94">
        <f t="shared" si="15"/>
        <v>9108</v>
      </c>
      <c r="P94">
        <f t="shared" si="16"/>
        <v>3551</v>
      </c>
      <c r="Q94">
        <f t="shared" si="17"/>
        <v>3197</v>
      </c>
      <c r="R94">
        <f t="shared" si="18"/>
        <v>1323</v>
      </c>
      <c r="S94">
        <f t="shared" si="19"/>
        <v>692</v>
      </c>
      <c r="T94">
        <f t="shared" si="20"/>
        <v>6295</v>
      </c>
      <c r="U94">
        <f t="shared" si="21"/>
        <v>3066</v>
      </c>
      <c r="V94">
        <f t="shared" si="22"/>
        <v>3453</v>
      </c>
      <c r="W94">
        <f t="shared" si="23"/>
        <v>1025</v>
      </c>
    </row>
    <row r="95" spans="1:23" x14ac:dyDescent="0.2">
      <c r="A95" s="4" t="s">
        <v>40</v>
      </c>
      <c r="B95">
        <v>2002</v>
      </c>
      <c r="C95">
        <v>8577</v>
      </c>
      <c r="D95">
        <v>5202</v>
      </c>
      <c r="E95">
        <v>4270</v>
      </c>
      <c r="F95">
        <v>2829</v>
      </c>
      <c r="G95">
        <v>2300</v>
      </c>
      <c r="H95">
        <v>11480</v>
      </c>
      <c r="I95">
        <v>5500</v>
      </c>
      <c r="J95">
        <v>5425</v>
      </c>
      <c r="K95">
        <v>2243</v>
      </c>
      <c r="L95">
        <v>187</v>
      </c>
      <c r="N95">
        <f t="shared" si="24"/>
        <v>354</v>
      </c>
      <c r="O95">
        <f t="shared" si="15"/>
        <v>6929</v>
      </c>
      <c r="P95">
        <f t="shared" si="16"/>
        <v>3554</v>
      </c>
      <c r="Q95">
        <f t="shared" si="17"/>
        <v>2622</v>
      </c>
      <c r="R95">
        <f t="shared" si="18"/>
        <v>1181</v>
      </c>
      <c r="S95">
        <f t="shared" si="19"/>
        <v>652</v>
      </c>
      <c r="T95">
        <f t="shared" si="20"/>
        <v>9832</v>
      </c>
      <c r="U95">
        <f t="shared" si="21"/>
        <v>3852</v>
      </c>
      <c r="V95">
        <f t="shared" si="22"/>
        <v>3777</v>
      </c>
      <c r="W95">
        <f t="shared" si="23"/>
        <v>595</v>
      </c>
    </row>
    <row r="97" spans="1:12" x14ac:dyDescent="0.2">
      <c r="L97">
        <f>AVERAGE(L91:L93)</f>
        <v>1648</v>
      </c>
    </row>
    <row r="100" spans="1:12" x14ac:dyDescent="0.2">
      <c r="A100" t="s">
        <v>41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63</v>
      </c>
    </row>
    <row r="120" spans="1:12" x14ac:dyDescent="0.2">
      <c r="B120" t="s">
        <v>60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10601</v>
      </c>
      <c r="C122" s="5" t="s">
        <v>64</v>
      </c>
      <c r="D122">
        <v>28664</v>
      </c>
      <c r="E122">
        <v>54215</v>
      </c>
      <c r="F122">
        <v>14595</v>
      </c>
      <c r="G122">
        <v>11426</v>
      </c>
      <c r="H122">
        <v>61747</v>
      </c>
      <c r="I122">
        <v>26413</v>
      </c>
      <c r="J122">
        <v>30688</v>
      </c>
      <c r="K122">
        <v>13663</v>
      </c>
      <c r="L122">
        <v>7933</v>
      </c>
    </row>
    <row r="123" spans="1:12" x14ac:dyDescent="0.2">
      <c r="A123" s="4" t="s">
        <v>37</v>
      </c>
      <c r="B123">
        <v>10265</v>
      </c>
      <c r="C123">
        <v>63216</v>
      </c>
      <c r="D123">
        <v>29134</v>
      </c>
      <c r="E123">
        <v>28870</v>
      </c>
      <c r="F123">
        <v>15516</v>
      </c>
      <c r="G123">
        <v>10637</v>
      </c>
      <c r="H123">
        <v>56690</v>
      </c>
      <c r="I123">
        <v>29297</v>
      </c>
      <c r="J123">
        <v>16312</v>
      </c>
      <c r="K123">
        <v>13007</v>
      </c>
      <c r="L123">
        <v>7923</v>
      </c>
    </row>
    <row r="124" spans="1:12" x14ac:dyDescent="0.2">
      <c r="A124" s="4" t="s">
        <v>38</v>
      </c>
      <c r="B124">
        <v>10512</v>
      </c>
      <c r="C124">
        <v>56751</v>
      </c>
      <c r="D124">
        <v>35130</v>
      </c>
      <c r="E124">
        <v>27066</v>
      </c>
      <c r="F124">
        <v>14798</v>
      </c>
      <c r="G124">
        <v>10459</v>
      </c>
      <c r="H124">
        <v>61130</v>
      </c>
      <c r="I124">
        <v>31159</v>
      </c>
      <c r="J124">
        <v>18595</v>
      </c>
      <c r="K124">
        <v>13435</v>
      </c>
      <c r="L124">
        <v>7945</v>
      </c>
    </row>
    <row r="125" spans="1:12" x14ac:dyDescent="0.2">
      <c r="A125" s="4" t="s">
        <v>39</v>
      </c>
      <c r="B125">
        <v>11320</v>
      </c>
      <c r="C125">
        <v>51289</v>
      </c>
      <c r="D125">
        <v>25008</v>
      </c>
      <c r="E125">
        <v>23336</v>
      </c>
      <c r="F125">
        <v>14402</v>
      </c>
      <c r="G125">
        <v>11305</v>
      </c>
      <c r="H125">
        <v>38041</v>
      </c>
      <c r="I125">
        <v>22688</v>
      </c>
      <c r="J125">
        <v>24593</v>
      </c>
      <c r="K125">
        <v>12914</v>
      </c>
      <c r="L125">
        <v>896</v>
      </c>
    </row>
    <row r="126" spans="1:12" x14ac:dyDescent="0.2">
      <c r="A126" s="4" t="s">
        <v>40</v>
      </c>
      <c r="B126">
        <v>9677</v>
      </c>
      <c r="C126">
        <v>41281</v>
      </c>
      <c r="D126">
        <v>25010</v>
      </c>
      <c r="E126">
        <v>20626</v>
      </c>
      <c r="F126">
        <v>13647</v>
      </c>
      <c r="G126">
        <v>11102</v>
      </c>
      <c r="H126">
        <v>54581</v>
      </c>
      <c r="I126">
        <v>26494</v>
      </c>
      <c r="J126">
        <v>25987</v>
      </c>
      <c r="K126">
        <v>10849</v>
      </c>
      <c r="L126">
        <v>908</v>
      </c>
    </row>
    <row r="131" spans="1:2" x14ac:dyDescent="0.2">
      <c r="A131" t="s">
        <v>41</v>
      </c>
      <c r="B131" s="2" t="s">
        <v>65</v>
      </c>
    </row>
  </sheetData>
  <mergeCells count="4">
    <mergeCell ref="N67:Q67"/>
    <mergeCell ref="S67:V67"/>
    <mergeCell ref="N68:R68"/>
    <mergeCell ref="S68:W6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2025-09-29T21:35:41Z</dcterms:created>
  <dcterms:modified xsi:type="dcterms:W3CDTF">2025-10-25T01:20:08Z</dcterms:modified>
</cp:coreProperties>
</file>