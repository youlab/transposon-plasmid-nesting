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DA53D258-1A1E-594A-B23B-0E6B9F7D33A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8" i="3" l="1"/>
  <c r="P78" i="3"/>
  <c r="O78" i="3"/>
  <c r="N78" i="3"/>
  <c r="W76" i="3"/>
  <c r="W78" i="3" s="1"/>
  <c r="V76" i="3"/>
  <c r="V78" i="3" s="1"/>
  <c r="U76" i="3"/>
  <c r="U78" i="3" s="1"/>
  <c r="T76" i="3"/>
  <c r="T78" i="3" s="1"/>
  <c r="S76" i="3"/>
  <c r="S78" i="3" s="1"/>
  <c r="R76" i="3"/>
  <c r="R78" i="3" s="1"/>
  <c r="Q76" i="3"/>
  <c r="P76" i="3"/>
  <c r="O76" i="3"/>
  <c r="N76" i="3"/>
  <c r="W74" i="3" l="1"/>
  <c r="V74" i="3"/>
  <c r="U74" i="3"/>
  <c r="T74" i="3"/>
  <c r="S74" i="3"/>
  <c r="R74" i="3"/>
  <c r="Q74" i="3"/>
  <c r="P74" i="3"/>
  <c r="O74" i="3"/>
  <c r="N74" i="3"/>
  <c r="W73" i="3"/>
  <c r="V73" i="3"/>
  <c r="U73" i="3"/>
  <c r="T73" i="3"/>
  <c r="S73" i="3"/>
  <c r="R73" i="3"/>
  <c r="Q73" i="3"/>
  <c r="P73" i="3"/>
  <c r="O73" i="3"/>
  <c r="N73" i="3"/>
  <c r="W72" i="3"/>
  <c r="V72" i="3"/>
  <c r="U72" i="3"/>
  <c r="T72" i="3"/>
  <c r="S72" i="3"/>
  <c r="R72" i="3"/>
  <c r="Q72" i="3"/>
  <c r="P72" i="3"/>
  <c r="O72" i="3"/>
  <c r="N72" i="3"/>
  <c r="W71" i="3"/>
  <c r="V71" i="3"/>
  <c r="U71" i="3"/>
  <c r="T71" i="3"/>
  <c r="S71" i="3"/>
  <c r="R71" i="3"/>
  <c r="Q71" i="3"/>
  <c r="P71" i="3"/>
  <c r="O71" i="3"/>
  <c r="N71" i="3"/>
  <c r="W70" i="3"/>
  <c r="V70" i="3"/>
  <c r="U70" i="3"/>
  <c r="T70" i="3"/>
  <c r="S70" i="3"/>
  <c r="R70" i="3"/>
  <c r="Q70" i="3"/>
  <c r="P70" i="3"/>
  <c r="O70" i="3"/>
  <c r="N70" i="3"/>
  <c r="W95" i="3"/>
  <c r="V95" i="3"/>
  <c r="U95" i="3"/>
  <c r="T95" i="3"/>
  <c r="S95" i="3"/>
  <c r="R95" i="3"/>
  <c r="Q95" i="3"/>
  <c r="P95" i="3"/>
  <c r="O95" i="3"/>
  <c r="W94" i="3"/>
  <c r="V94" i="3"/>
  <c r="U94" i="3"/>
  <c r="T94" i="3"/>
  <c r="S94" i="3"/>
  <c r="R94" i="3"/>
  <c r="Q94" i="3"/>
  <c r="P94" i="3"/>
  <c r="O94" i="3"/>
  <c r="W93" i="3"/>
  <c r="V93" i="3"/>
  <c r="U93" i="3"/>
  <c r="T93" i="3"/>
  <c r="S93" i="3"/>
  <c r="R93" i="3"/>
  <c r="Q93" i="3"/>
  <c r="P93" i="3"/>
  <c r="O93" i="3"/>
  <c r="W92" i="3"/>
  <c r="V92" i="3"/>
  <c r="U92" i="3"/>
  <c r="T92" i="3"/>
  <c r="S92" i="3"/>
  <c r="R92" i="3"/>
  <c r="Q92" i="3"/>
  <c r="P92" i="3"/>
  <c r="O92" i="3"/>
  <c r="W91" i="3"/>
  <c r="V91" i="3"/>
  <c r="U91" i="3"/>
  <c r="T91" i="3"/>
  <c r="S91" i="3"/>
  <c r="R91" i="3"/>
  <c r="Q91" i="3"/>
  <c r="P91" i="3"/>
  <c r="O91" i="3"/>
  <c r="N95" i="3"/>
  <c r="N94" i="3"/>
  <c r="N93" i="3"/>
  <c r="N92" i="3"/>
  <c r="N91" i="3"/>
  <c r="L97" i="3"/>
  <c r="W33" i="3"/>
  <c r="V33" i="3"/>
  <c r="U33" i="3"/>
  <c r="T33" i="3"/>
  <c r="S33" i="3"/>
  <c r="R33" i="3"/>
  <c r="Q33" i="3"/>
  <c r="P33" i="3"/>
  <c r="O33" i="3"/>
  <c r="W32" i="3"/>
  <c r="V32" i="3"/>
  <c r="U32" i="3"/>
  <c r="T32" i="3"/>
  <c r="S32" i="3"/>
  <c r="R32" i="3"/>
  <c r="Q32" i="3"/>
  <c r="P32" i="3"/>
  <c r="O32" i="3"/>
  <c r="W31" i="3"/>
  <c r="V31" i="3"/>
  <c r="U31" i="3"/>
  <c r="T31" i="3"/>
  <c r="S31" i="3"/>
  <c r="R31" i="3"/>
  <c r="Q31" i="3"/>
  <c r="P31" i="3"/>
  <c r="O31" i="3"/>
  <c r="W30" i="3"/>
  <c r="V30" i="3"/>
  <c r="U30" i="3"/>
  <c r="T30" i="3"/>
  <c r="S30" i="3"/>
  <c r="R30" i="3"/>
  <c r="Q30" i="3"/>
  <c r="P30" i="3"/>
  <c r="O30" i="3"/>
  <c r="W29" i="3"/>
  <c r="V29" i="3"/>
  <c r="U29" i="3"/>
  <c r="T29" i="3"/>
  <c r="S29" i="3"/>
  <c r="R29" i="3"/>
  <c r="Q29" i="3"/>
  <c r="P29" i="3"/>
  <c r="O29" i="3"/>
  <c r="N33" i="3"/>
  <c r="N32" i="3"/>
  <c r="N31" i="3"/>
  <c r="N30" i="3"/>
  <c r="N29" i="3"/>
  <c r="L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<sst xmlns="http://schemas.openxmlformats.org/spreadsheetml/2006/main" count="161" uniqueCount="71">
  <si>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</si>
  <si>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</si>
  <si>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</si>
  <si>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</si>
  <si>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</si>
  <si>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</si>
  <si>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</si>
  <si>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</si>
  <si>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</si>
  <si>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</si>
  <si>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</si>
  <si>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</si>
  <si>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</si>
  <si>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</si>
  <si>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</si>
  <si>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</si>
  <si>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</si>
  <si>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</si>
  <si>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</si>
  <si>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</si>
  <si>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</si>
  <si>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</si>
  <si>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</si>
  <si>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</si>
  <si>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</si>
  <si>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</si>
  <si>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</si>
  <si>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</si>
  <si>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</si>
  <si>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</si>
  <si>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</si>
  <si>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</si>
  <si>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Temperature: 27.2 °C</t>
  </si>
  <si>
    <t>&lt;&gt;</t>
  </si>
  <si>
    <t>B</t>
  </si>
  <si>
    <t>C</t>
  </si>
  <si>
    <t>D</t>
  </si>
  <si>
    <t>E</t>
  </si>
  <si>
    <t>F</t>
  </si>
  <si>
    <t>End Time:</t>
  </si>
  <si>
    <t>4:35:32 PM</t>
  </si>
  <si>
    <t>9/15/2025 4:35:38 PM</t>
  </si>
  <si>
    <t>9/15/2025 4:36:04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</si>
  <si>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</si>
  <si>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</si>
  <si>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</si>
  <si>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</si>
  <si>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</si>
  <si>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</si>
  <si>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</si>
  <si>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</si>
  <si>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</si>
  <si>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</si>
  <si>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</si>
  <si>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</si>
  <si>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</si>
  <si>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9/15/2025 4:36:08 PM</t>
  </si>
  <si>
    <t>9/15/2025 4:36:57 PM</t>
  </si>
  <si>
    <t>Label: gfp 80</t>
  </si>
  <si>
    <t>9/15/2025 4:37:04 PM</t>
  </si>
  <si>
    <t>9/15/2025 4:37:53 PM</t>
  </si>
  <si>
    <t>Label: gfp100</t>
  </si>
  <si>
    <t>9/15/2025 4:38:00 PM</t>
  </si>
  <si>
    <t>9/15/2025 4:38:48 PM</t>
  </si>
  <si>
    <t>Kan+</t>
  </si>
  <si>
    <t>Kan-</t>
  </si>
  <si>
    <t>p15A</t>
  </si>
  <si>
    <t>pBR</t>
  </si>
  <si>
    <t>CloDF</t>
  </si>
  <si>
    <t>pUC</t>
  </si>
  <si>
    <t>p15A,++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</si>
</sst>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1"/>
  <sheetViews>
    <sheetView tabSelected="1" topLeftCell="A58" workbookViewId="0">
      <selection activeCell="N83" sqref="N83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45915</v>
      </c>
    </row>
    <row r="6" spans="1:12" x14ac:dyDescent="0.2">
      <c r="A6" t="s">
        <v>8</v>
      </c>
      <c r="B6" s="2" t="s">
        <v>40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>
        <v>5</v>
      </c>
      <c r="F14" s="3" t="s">
        <v>17</v>
      </c>
      <c r="G14" s="3"/>
      <c r="H14" s="3"/>
      <c r="I14" s="3"/>
      <c r="J14" s="3"/>
      <c r="K14" s="3"/>
      <c r="L14" s="3"/>
    </row>
    <row r="15" spans="1:12" x14ac:dyDescent="0.2">
      <c r="A15" s="3" t="s">
        <v>18</v>
      </c>
      <c r="B15" s="3"/>
      <c r="C15" s="3"/>
      <c r="D15" s="3"/>
      <c r="E15" s="3">
        <v>2</v>
      </c>
      <c r="F15" s="3" t="s">
        <v>19</v>
      </c>
      <c r="G15" s="3"/>
      <c r="H15" s="3"/>
      <c r="I15" s="3"/>
      <c r="J15" s="3"/>
      <c r="K15" s="3"/>
      <c r="L15" s="3"/>
    </row>
    <row r="18" spans="1:23" x14ac:dyDescent="0.2">
      <c r="A18" t="s">
        <v>20</v>
      </c>
    </row>
    <row r="19" spans="1:23" x14ac:dyDescent="0.2">
      <c r="A19" t="s">
        <v>21</v>
      </c>
      <c r="E19" t="s">
        <v>22</v>
      </c>
    </row>
    <row r="20" spans="1:23" x14ac:dyDescent="0.2">
      <c r="A20" t="s">
        <v>23</v>
      </c>
      <c r="E20">
        <v>600</v>
      </c>
      <c r="F20" t="s">
        <v>24</v>
      </c>
    </row>
    <row r="21" spans="1:23" x14ac:dyDescent="0.2">
      <c r="A21" t="s">
        <v>25</v>
      </c>
      <c r="E21">
        <v>9</v>
      </c>
      <c r="F21" t="s">
        <v>24</v>
      </c>
    </row>
    <row r="22" spans="1:23" x14ac:dyDescent="0.2">
      <c r="A22" t="s">
        <v>26</v>
      </c>
      <c r="E22">
        <v>10</v>
      </c>
    </row>
    <row r="23" spans="1:23" x14ac:dyDescent="0.2">
      <c r="A23" t="s">
        <v>27</v>
      </c>
      <c r="E23">
        <v>0</v>
      </c>
      <c r="F23" t="s">
        <v>28</v>
      </c>
    </row>
    <row r="24" spans="1:23" x14ac:dyDescent="0.2">
      <c r="A24" t="s">
        <v>29</v>
      </c>
      <c r="E24" t="s">
        <v>30</v>
      </c>
    </row>
    <row r="25" spans="1:23" x14ac:dyDescent="0.2">
      <c r="A25" t="s">
        <v>31</v>
      </c>
      <c r="B25" s="2" t="s">
        <v>41</v>
      </c>
    </row>
    <row r="27" spans="1:23" x14ac:dyDescent="0.2">
      <c r="B27" t="s">
        <v>32</v>
      </c>
    </row>
    <row r="28" spans="1:23" x14ac:dyDescent="0.2">
      <c r="A28" s="4" t="s">
        <v>33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34</v>
      </c>
      <c r="B29">
        <v>0.95249998569488525</v>
      </c>
      <c r="C29">
        <v>1.0663000345230103</v>
      </c>
      <c r="D29">
        <v>1.083899974822998</v>
      </c>
      <c r="E29">
        <v>1.0403000116348267</v>
      </c>
      <c r="F29">
        <v>1.1497999429702759</v>
      </c>
      <c r="G29">
        <v>0.83579999208450317</v>
      </c>
      <c r="H29">
        <v>1.0910999774932861</v>
      </c>
      <c r="I29">
        <v>1.1951999664306641</v>
      </c>
      <c r="J29">
        <v>1.1878999471664429</v>
      </c>
      <c r="K29">
        <v>1.1614999771118164</v>
      </c>
      <c r="L29">
        <v>4.3400000780820847E-2</v>
      </c>
      <c r="N29">
        <f t="shared" ref="N29:W33" si="0">B29-0.044</f>
        <v>0.90849998569488521</v>
      </c>
      <c r="O29">
        <f t="shared" si="0"/>
        <v>1.0223000345230102</v>
      </c>
      <c r="P29">
        <f t="shared" si="0"/>
        <v>1.039899974822998</v>
      </c>
      <c r="Q29">
        <f t="shared" si="0"/>
        <v>0.99630001163482662</v>
      </c>
      <c r="R29">
        <f t="shared" si="0"/>
        <v>1.1057999429702758</v>
      </c>
      <c r="S29">
        <f t="shared" si="0"/>
        <v>0.79179999208450313</v>
      </c>
      <c r="T29">
        <f t="shared" si="0"/>
        <v>1.0470999774932861</v>
      </c>
      <c r="U29">
        <f t="shared" si="0"/>
        <v>1.151199966430664</v>
      </c>
      <c r="V29">
        <f t="shared" si="0"/>
        <v>1.1438999471664428</v>
      </c>
      <c r="W29">
        <f t="shared" si="0"/>
        <v>1.1174999771118164</v>
      </c>
    </row>
    <row r="30" spans="1:23" x14ac:dyDescent="0.2">
      <c r="A30" s="4" t="s">
        <v>35</v>
      </c>
      <c r="B30">
        <v>1.1237000226974487</v>
      </c>
      <c r="C30">
        <v>1.086899995803833</v>
      </c>
      <c r="D30">
        <v>1.1122000217437744</v>
      </c>
      <c r="E30">
        <v>0.955299973487854</v>
      </c>
      <c r="F30">
        <v>1.1029000282287598</v>
      </c>
      <c r="G30">
        <v>1.1553000211715698</v>
      </c>
      <c r="H30">
        <v>1.0339000225067139</v>
      </c>
      <c r="I30">
        <v>0.93620002269744873</v>
      </c>
      <c r="J30">
        <v>1.2094999551773071</v>
      </c>
      <c r="K30">
        <v>1.18340003490448</v>
      </c>
      <c r="L30">
        <v>4.3900001794099808E-2</v>
      </c>
      <c r="N30">
        <f t="shared" si="0"/>
        <v>1.0797000226974487</v>
      </c>
      <c r="O30">
        <f t="shared" si="0"/>
        <v>1.042899995803833</v>
      </c>
      <c r="P30">
        <f t="shared" si="0"/>
        <v>1.0682000217437744</v>
      </c>
      <c r="Q30">
        <f t="shared" si="0"/>
        <v>0.91129997348785396</v>
      </c>
      <c r="R30">
        <f t="shared" si="0"/>
        <v>1.0589000282287597</v>
      </c>
      <c r="S30">
        <f t="shared" si="0"/>
        <v>1.1113000211715698</v>
      </c>
      <c r="T30">
        <f t="shared" si="0"/>
        <v>0.98990002250671383</v>
      </c>
      <c r="U30">
        <f t="shared" si="0"/>
        <v>0.89220002269744869</v>
      </c>
      <c r="V30">
        <f t="shared" si="0"/>
        <v>1.1654999551773071</v>
      </c>
      <c r="W30">
        <f t="shared" si="0"/>
        <v>1.1394000349044799</v>
      </c>
    </row>
    <row r="31" spans="1:23" x14ac:dyDescent="0.2">
      <c r="A31" s="4" t="s">
        <v>36</v>
      </c>
      <c r="B31">
        <v>1.1366000175476074</v>
      </c>
      <c r="C31">
        <v>0.98360002040863037</v>
      </c>
      <c r="D31">
        <v>0.8521999716758728</v>
      </c>
      <c r="E31">
        <v>1.0420000553131104</v>
      </c>
      <c r="F31">
        <v>1.1610000133514404</v>
      </c>
      <c r="G31">
        <v>1.1517000198364258</v>
      </c>
      <c r="H31">
        <v>0.94319999217987061</v>
      </c>
      <c r="I31">
        <v>1.1634999513626099</v>
      </c>
      <c r="J31">
        <v>1.1229000091552734</v>
      </c>
      <c r="K31">
        <v>1.1892999410629272</v>
      </c>
      <c r="L31">
        <v>4.3900001794099808E-2</v>
      </c>
      <c r="N31">
        <f t="shared" si="0"/>
        <v>1.0926000175476074</v>
      </c>
      <c r="O31">
        <f t="shared" si="0"/>
        <v>0.93960002040863033</v>
      </c>
      <c r="P31">
        <f t="shared" si="0"/>
        <v>0.80819997167587276</v>
      </c>
      <c r="Q31">
        <f t="shared" si="0"/>
        <v>0.99800005531311031</v>
      </c>
      <c r="R31">
        <f t="shared" si="0"/>
        <v>1.1170000133514404</v>
      </c>
      <c r="S31">
        <f t="shared" si="0"/>
        <v>1.1077000198364257</v>
      </c>
      <c r="T31">
        <f t="shared" si="0"/>
        <v>0.89919999217987057</v>
      </c>
      <c r="U31">
        <f t="shared" si="0"/>
        <v>1.1194999513626098</v>
      </c>
      <c r="V31">
        <f t="shared" si="0"/>
        <v>1.0789000091552734</v>
      </c>
      <c r="W31">
        <f t="shared" si="0"/>
        <v>1.1452999410629272</v>
      </c>
    </row>
    <row r="32" spans="1:23" x14ac:dyDescent="0.2">
      <c r="A32" s="4" t="s">
        <v>37</v>
      </c>
      <c r="B32">
        <v>0.80339998006820679</v>
      </c>
      <c r="C32">
        <v>0.97930002212524414</v>
      </c>
      <c r="D32">
        <v>1.0514999628067017</v>
      </c>
      <c r="E32">
        <v>1.0353000164031982</v>
      </c>
      <c r="F32">
        <v>1.066100001335144</v>
      </c>
      <c r="G32">
        <v>1.1604000329971313</v>
      </c>
      <c r="H32">
        <v>1.0446000099182129</v>
      </c>
      <c r="I32">
        <v>1.0996999740600586</v>
      </c>
      <c r="J32">
        <v>1.1717000007629395</v>
      </c>
      <c r="K32">
        <v>1.0820000171661377</v>
      </c>
      <c r="L32">
        <v>4.4100001454353333E-2</v>
      </c>
      <c r="N32">
        <f t="shared" si="0"/>
        <v>0.75939998006820675</v>
      </c>
      <c r="O32">
        <f t="shared" si="0"/>
        <v>0.9353000221252441</v>
      </c>
      <c r="P32">
        <f t="shared" si="0"/>
        <v>1.0074999628067016</v>
      </c>
      <c r="Q32">
        <f t="shared" si="0"/>
        <v>0.9913000164031982</v>
      </c>
      <c r="R32">
        <f t="shared" si="0"/>
        <v>1.022100001335144</v>
      </c>
      <c r="S32">
        <f t="shared" si="0"/>
        <v>1.1164000329971313</v>
      </c>
      <c r="T32">
        <f t="shared" si="0"/>
        <v>1.0006000099182129</v>
      </c>
      <c r="U32">
        <f t="shared" si="0"/>
        <v>1.0556999740600586</v>
      </c>
      <c r="V32">
        <f t="shared" si="0"/>
        <v>1.1277000007629394</v>
      </c>
      <c r="W32">
        <f t="shared" si="0"/>
        <v>1.0380000171661377</v>
      </c>
    </row>
    <row r="33" spans="1:23" x14ac:dyDescent="0.2">
      <c r="A33" s="4" t="s">
        <v>38</v>
      </c>
      <c r="B33">
        <v>0.89719998836517334</v>
      </c>
      <c r="C33">
        <v>0.78109997510910034</v>
      </c>
      <c r="D33">
        <v>1.049299955368042</v>
      </c>
      <c r="E33">
        <v>0.93650001287460327</v>
      </c>
      <c r="F33">
        <v>1.0458999872207642</v>
      </c>
      <c r="G33">
        <v>0.9603000283241272</v>
      </c>
      <c r="H33">
        <v>0.91289997100830078</v>
      </c>
      <c r="I33">
        <v>0.9244999885559082</v>
      </c>
      <c r="J33">
        <v>1.0774999856948853</v>
      </c>
      <c r="K33">
        <v>0.99379998445510864</v>
      </c>
      <c r="L33">
        <v>4.439999908208847E-2</v>
      </c>
      <c r="N33">
        <f t="shared" si="0"/>
        <v>0.8531999883651733</v>
      </c>
      <c r="O33">
        <f t="shared" si="0"/>
        <v>0.7370999751091003</v>
      </c>
      <c r="P33">
        <f t="shared" si="0"/>
        <v>1.005299955368042</v>
      </c>
      <c r="Q33">
        <f t="shared" si="0"/>
        <v>0.89250001287460323</v>
      </c>
      <c r="R33">
        <f t="shared" si="0"/>
        <v>1.0018999872207641</v>
      </c>
      <c r="S33">
        <f t="shared" si="0"/>
        <v>0.91630002832412716</v>
      </c>
      <c r="T33">
        <f t="shared" si="0"/>
        <v>0.86889997100830074</v>
      </c>
      <c r="U33">
        <f t="shared" si="0"/>
        <v>0.88049998855590816</v>
      </c>
      <c r="V33">
        <f t="shared" si="0"/>
        <v>1.0334999856948852</v>
      </c>
      <c r="W33">
        <f t="shared" si="0"/>
        <v>0.9497999844551086</v>
      </c>
    </row>
    <row r="35" spans="1:23" x14ac:dyDescent="0.2">
      <c r="L35">
        <f>AVERAGE(L29:L31)</f>
        <v>4.3733334789673485E-2</v>
      </c>
    </row>
    <row r="38" spans="1:23" x14ac:dyDescent="0.2">
      <c r="A38" t="s">
        <v>39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21</v>
      </c>
      <c r="E44" t="s">
        <v>44</v>
      </c>
    </row>
    <row r="45" spans="1:23" x14ac:dyDescent="0.2">
      <c r="A45" t="s">
        <v>45</v>
      </c>
      <c r="E45">
        <v>488</v>
      </c>
      <c r="F45" t="s">
        <v>24</v>
      </c>
    </row>
    <row r="46" spans="1:23" x14ac:dyDescent="0.2">
      <c r="A46" t="s">
        <v>46</v>
      </c>
      <c r="E46">
        <v>520</v>
      </c>
      <c r="F46" t="s">
        <v>24</v>
      </c>
    </row>
    <row r="47" spans="1:23" x14ac:dyDescent="0.2">
      <c r="A47" t="s">
        <v>47</v>
      </c>
      <c r="E47">
        <v>9</v>
      </c>
      <c r="F47" t="s">
        <v>24</v>
      </c>
    </row>
    <row r="48" spans="1:23" x14ac:dyDescent="0.2">
      <c r="A48" t="s">
        <v>48</v>
      </c>
      <c r="E48">
        <v>20</v>
      </c>
      <c r="F48" t="s">
        <v>24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26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27</v>
      </c>
      <c r="E53">
        <v>0</v>
      </c>
      <c r="F53" t="s">
        <v>28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29</v>
      </c>
      <c r="E55" t="s">
        <v>30</v>
      </c>
    </row>
    <row r="56" spans="1:12" x14ac:dyDescent="0.2">
      <c r="A56" t="s">
        <v>31</v>
      </c>
      <c r="B56" s="2" t="s">
        <v>56</v>
      </c>
    </row>
    <row r="58" spans="1:12" x14ac:dyDescent="0.2">
      <c r="B58" t="s">
        <v>32</v>
      </c>
    </row>
    <row r="59" spans="1:12" x14ac:dyDescent="0.2">
      <c r="A59" s="4" t="s">
        <v>33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34</v>
      </c>
      <c r="B60">
        <v>103</v>
      </c>
      <c r="C60">
        <v>394</v>
      </c>
      <c r="D60">
        <v>335</v>
      </c>
      <c r="E60">
        <v>129</v>
      </c>
      <c r="F60">
        <v>139</v>
      </c>
      <c r="G60">
        <v>104</v>
      </c>
      <c r="H60">
        <v>383</v>
      </c>
      <c r="I60">
        <v>227</v>
      </c>
      <c r="J60">
        <v>122</v>
      </c>
      <c r="K60">
        <v>141</v>
      </c>
      <c r="L60">
        <v>82</v>
      </c>
    </row>
    <row r="61" spans="1:12" x14ac:dyDescent="0.2">
      <c r="A61" s="4" t="s">
        <v>35</v>
      </c>
      <c r="B61">
        <v>121</v>
      </c>
      <c r="C61">
        <v>419</v>
      </c>
      <c r="D61">
        <v>355</v>
      </c>
      <c r="E61">
        <v>116</v>
      </c>
      <c r="F61">
        <v>145</v>
      </c>
      <c r="G61">
        <v>121</v>
      </c>
      <c r="H61">
        <v>372</v>
      </c>
      <c r="I61">
        <v>174</v>
      </c>
      <c r="J61">
        <v>124</v>
      </c>
      <c r="K61">
        <v>144</v>
      </c>
      <c r="L61">
        <v>83</v>
      </c>
    </row>
    <row r="62" spans="1:12" x14ac:dyDescent="0.2">
      <c r="A62" s="4" t="s">
        <v>36</v>
      </c>
      <c r="B62">
        <v>118</v>
      </c>
      <c r="C62">
        <v>383</v>
      </c>
      <c r="D62">
        <v>230</v>
      </c>
      <c r="E62">
        <v>126</v>
      </c>
      <c r="F62">
        <v>142</v>
      </c>
      <c r="G62">
        <v>123</v>
      </c>
      <c r="H62">
        <v>334</v>
      </c>
      <c r="I62">
        <v>231</v>
      </c>
      <c r="J62">
        <v>119</v>
      </c>
      <c r="K62">
        <v>145</v>
      </c>
      <c r="L62">
        <v>83</v>
      </c>
    </row>
    <row r="63" spans="1:12" x14ac:dyDescent="0.2">
      <c r="A63" s="4" t="s">
        <v>37</v>
      </c>
      <c r="B63">
        <v>105</v>
      </c>
      <c r="C63">
        <v>391</v>
      </c>
      <c r="D63">
        <v>316</v>
      </c>
      <c r="E63">
        <v>179</v>
      </c>
      <c r="F63">
        <v>142</v>
      </c>
      <c r="G63">
        <v>125</v>
      </c>
      <c r="H63">
        <v>388</v>
      </c>
      <c r="I63">
        <v>216</v>
      </c>
      <c r="J63">
        <v>125</v>
      </c>
      <c r="K63">
        <v>141</v>
      </c>
      <c r="L63">
        <v>8</v>
      </c>
    </row>
    <row r="64" spans="1:12" x14ac:dyDescent="0.2">
      <c r="A64" s="4" t="s">
        <v>38</v>
      </c>
      <c r="B64">
        <v>106</v>
      </c>
      <c r="C64">
        <v>282</v>
      </c>
      <c r="D64">
        <v>313</v>
      </c>
      <c r="E64">
        <v>116</v>
      </c>
      <c r="F64">
        <v>139</v>
      </c>
      <c r="G64">
        <v>108</v>
      </c>
      <c r="H64">
        <v>329</v>
      </c>
      <c r="I64">
        <v>167</v>
      </c>
      <c r="J64">
        <v>115</v>
      </c>
      <c r="K64">
        <v>126</v>
      </c>
      <c r="L64">
        <v>7</v>
      </c>
    </row>
    <row r="68" spans="1:23" x14ac:dyDescent="0.2">
      <c r="N68" s="13" t="s">
        <v>64</v>
      </c>
      <c r="O68" s="13"/>
      <c r="P68" s="13"/>
      <c r="Q68" s="13"/>
      <c r="R68" s="13"/>
      <c r="S68" s="13" t="s">
        <v>65</v>
      </c>
      <c r="T68" s="13"/>
      <c r="U68" s="13"/>
      <c r="V68" s="13"/>
      <c r="W68" s="13"/>
    </row>
    <row r="69" spans="1:23" ht="16" thickBot="1" x14ac:dyDescent="0.25">
      <c r="A69" t="s">
        <v>39</v>
      </c>
      <c r="B69" s="2" t="s">
        <v>57</v>
      </c>
      <c r="N69" t="s">
        <v>66</v>
      </c>
      <c r="O69" t="s">
        <v>67</v>
      </c>
      <c r="P69" t="s">
        <v>68</v>
      </c>
      <c r="Q69" t="s">
        <v>69</v>
      </c>
      <c r="R69" t="s">
        <v>70</v>
      </c>
      <c r="S69" t="s">
        <v>66</v>
      </c>
      <c r="T69" t="s">
        <v>67</v>
      </c>
      <c r="U69" t="s">
        <v>68</v>
      </c>
      <c r="V69" t="s">
        <v>69</v>
      </c>
      <c r="W69" t="s">
        <v>70</v>
      </c>
    </row>
    <row r="70" spans="1:23" x14ac:dyDescent="0.2">
      <c r="N70" s="5">
        <f>N91/N29</f>
        <v>657.12714298324624</v>
      </c>
      <c r="O70" s="6">
        <f t="shared" ref="O70:W70" si="1">O91/O29</f>
        <v>8645.2114854164884</v>
      </c>
      <c r="P70" s="6">
        <f t="shared" si="1"/>
        <v>6893.9322757655027</v>
      </c>
      <c r="Q70" s="6">
        <f t="shared" si="1"/>
        <v>1296.7981380226624</v>
      </c>
      <c r="R70" s="7">
        <f t="shared" si="1"/>
        <v>1446.9163343436783</v>
      </c>
      <c r="S70" s="5">
        <f t="shared" si="1"/>
        <v>745.13766847453257</v>
      </c>
      <c r="T70" s="6">
        <f t="shared" si="1"/>
        <v>8180.6896992841585</v>
      </c>
      <c r="U70" s="6">
        <f t="shared" si="1"/>
        <v>3564.9757815096159</v>
      </c>
      <c r="V70" s="6">
        <f t="shared" si="1"/>
        <v>978.2324081506232</v>
      </c>
      <c r="W70" s="7">
        <f t="shared" si="1"/>
        <v>1486.3534980044133</v>
      </c>
    </row>
    <row r="71" spans="1:23" x14ac:dyDescent="0.2">
      <c r="N71" s="8">
        <f t="shared" ref="N71:W74" si="2">N92/N30</f>
        <v>986.38508623837652</v>
      </c>
      <c r="O71">
        <f t="shared" si="2"/>
        <v>9142.7749912403979</v>
      </c>
      <c r="P71">
        <f t="shared" si="2"/>
        <v>7216.8131839348835</v>
      </c>
      <c r="Q71">
        <f t="shared" si="2"/>
        <v>1015.0334982011592</v>
      </c>
      <c r="R71" s="9">
        <f t="shared" si="2"/>
        <v>1649.825246413712</v>
      </c>
      <c r="S71" s="8">
        <f t="shared" si="2"/>
        <v>978.13369863346907</v>
      </c>
      <c r="T71">
        <f t="shared" si="2"/>
        <v>8284.6750313558841</v>
      </c>
      <c r="U71">
        <f t="shared" si="2"/>
        <v>2908.5406119519712</v>
      </c>
      <c r="V71">
        <f t="shared" si="2"/>
        <v>996.13903444842049</v>
      </c>
      <c r="W71" s="9">
        <f t="shared" si="2"/>
        <v>1555.2044459508493</v>
      </c>
    </row>
    <row r="72" spans="1:23" x14ac:dyDescent="0.2">
      <c r="N72" s="8">
        <f t="shared" si="2"/>
        <v>920.73950562257426</v>
      </c>
      <c r="O72">
        <f t="shared" si="2"/>
        <v>9019.7954618117583</v>
      </c>
      <c r="P72">
        <f t="shared" si="2"/>
        <v>5191.7843937797097</v>
      </c>
      <c r="Q72">
        <f t="shared" si="2"/>
        <v>1196.3927192623221</v>
      </c>
      <c r="R72" s="9">
        <f t="shared" si="2"/>
        <v>1522.8289880644938</v>
      </c>
      <c r="S72" s="8">
        <f t="shared" si="2"/>
        <v>1030.0622727879806</v>
      </c>
      <c r="T72">
        <f t="shared" si="2"/>
        <v>7879.2260471714499</v>
      </c>
      <c r="U72">
        <f t="shared" si="2"/>
        <v>3721.3043153144527</v>
      </c>
      <c r="V72">
        <f t="shared" si="2"/>
        <v>961.164140513745</v>
      </c>
      <c r="W72" s="9">
        <f t="shared" si="2"/>
        <v>1532.3496815788044</v>
      </c>
    </row>
    <row r="73" spans="1:23" x14ac:dyDescent="0.2">
      <c r="N73" s="8">
        <f t="shared" si="2"/>
        <v>853.30526337622348</v>
      </c>
      <c r="O73">
        <f t="shared" si="2"/>
        <v>9372.3936626039795</v>
      </c>
      <c r="P73">
        <f t="shared" si="2"/>
        <v>6595.5337422428329</v>
      </c>
      <c r="Q73">
        <f t="shared" si="2"/>
        <v>2757.9945069707146</v>
      </c>
      <c r="R73" s="9">
        <f t="shared" si="2"/>
        <v>1619.2153388495394</v>
      </c>
      <c r="S73" s="8">
        <f t="shared" si="2"/>
        <v>1065.926159823983</v>
      </c>
      <c r="T73">
        <f t="shared" si="2"/>
        <v>8652.8082292420604</v>
      </c>
      <c r="U73">
        <f t="shared" si="2"/>
        <v>3533.2008067168913</v>
      </c>
      <c r="V73">
        <f t="shared" si="2"/>
        <v>1052.58490662139</v>
      </c>
      <c r="W73" s="9">
        <f t="shared" si="2"/>
        <v>1563.5837891708145</v>
      </c>
    </row>
    <row r="74" spans="1:23" ht="16" thickBot="1" x14ac:dyDescent="0.25">
      <c r="A74" t="s">
        <v>58</v>
      </c>
      <c r="N74" s="10">
        <f t="shared" si="2"/>
        <v>779.41866979418796</v>
      </c>
      <c r="O74" s="11">
        <f t="shared" si="2"/>
        <v>7648.8945738541142</v>
      </c>
      <c r="P74" s="11">
        <f t="shared" si="2"/>
        <v>6472.6950053606406</v>
      </c>
      <c r="Q74" s="11">
        <f t="shared" si="2"/>
        <v>1102.5209924991368</v>
      </c>
      <c r="R74" s="12">
        <f t="shared" si="2"/>
        <v>1611.937339653985</v>
      </c>
      <c r="S74" s="10">
        <f t="shared" si="2"/>
        <v>775.94671834768792</v>
      </c>
      <c r="T74" s="11">
        <f t="shared" si="2"/>
        <v>8000.9209712973816</v>
      </c>
      <c r="U74" s="11">
        <f t="shared" si="2"/>
        <v>2720.0454640868256</v>
      </c>
      <c r="V74" s="11">
        <f t="shared" si="2"/>
        <v>903.72521812084472</v>
      </c>
      <c r="W74" s="12">
        <f t="shared" si="2"/>
        <v>1319.2251216121408</v>
      </c>
    </row>
    <row r="75" spans="1:23" x14ac:dyDescent="0.2">
      <c r="A75" t="s">
        <v>21</v>
      </c>
      <c r="E75" t="s">
        <v>44</v>
      </c>
    </row>
    <row r="76" spans="1:23" x14ac:dyDescent="0.2">
      <c r="A76" t="s">
        <v>45</v>
      </c>
      <c r="E76">
        <v>488</v>
      </c>
      <c r="F76" t="s">
        <v>24</v>
      </c>
      <c r="N76">
        <f t="shared" ref="N76:W76" si="3">AVERAGE(N70:N74)</f>
        <v>839.39513360292165</v>
      </c>
      <c r="O76">
        <f t="shared" si="3"/>
        <v>8765.8140349853475</v>
      </c>
      <c r="P76">
        <f t="shared" si="3"/>
        <v>6474.1517202167142</v>
      </c>
      <c r="Q76">
        <f t="shared" si="3"/>
        <v>1473.7479709911991</v>
      </c>
      <c r="R76">
        <f t="shared" si="3"/>
        <v>1570.1446494650816</v>
      </c>
      <c r="S76">
        <f t="shared" si="3"/>
        <v>919.04130361353077</v>
      </c>
      <c r="T76">
        <f t="shared" si="3"/>
        <v>8199.6639956701874</v>
      </c>
      <c r="U76">
        <f t="shared" si="3"/>
        <v>3289.6133959159511</v>
      </c>
      <c r="V76">
        <f t="shared" si="3"/>
        <v>978.36914157100477</v>
      </c>
      <c r="W76">
        <f t="shared" si="3"/>
        <v>1491.3433072634045</v>
      </c>
    </row>
    <row r="77" spans="1:23" x14ac:dyDescent="0.2">
      <c r="A77" t="s">
        <v>46</v>
      </c>
      <c r="E77">
        <v>520</v>
      </c>
      <c r="F77" t="s">
        <v>24</v>
      </c>
    </row>
    <row r="78" spans="1:23" x14ac:dyDescent="0.2">
      <c r="A78" t="s">
        <v>47</v>
      </c>
      <c r="E78">
        <v>9</v>
      </c>
      <c r="F78" t="s">
        <v>24</v>
      </c>
      <c r="N78">
        <f>N76/974</f>
        <v>0.8618019852186054</v>
      </c>
      <c r="O78">
        <f>O76/10336</f>
        <v>0.84808572319904674</v>
      </c>
      <c r="P78">
        <f>P76/16798</f>
        <v>0.38541205621006752</v>
      </c>
      <c r="Q78">
        <f>Q76/40900</f>
        <v>3.6032957725946189E-2</v>
      </c>
      <c r="R78">
        <f>R76/1809</f>
        <v>0.86796276919020543</v>
      </c>
      <c r="S78">
        <f>S76/895</f>
        <v>1.0268617917469618</v>
      </c>
      <c r="T78">
        <f>T76/10832</f>
        <v>0.75698522855153139</v>
      </c>
      <c r="U78">
        <f>U76/17626</f>
        <v>0.18663414251196817</v>
      </c>
      <c r="V78">
        <f>V76/52231</f>
        <v>1.8731579743275158E-2</v>
      </c>
      <c r="W78">
        <f>W76/1938</f>
        <v>0.76952699033199412</v>
      </c>
    </row>
    <row r="79" spans="1:23" x14ac:dyDescent="0.2">
      <c r="A79" t="s">
        <v>48</v>
      </c>
      <c r="E79">
        <v>20</v>
      </c>
      <c r="F79" t="s">
        <v>24</v>
      </c>
    </row>
    <row r="80" spans="1:23" x14ac:dyDescent="0.2">
      <c r="A80" t="s">
        <v>49</v>
      </c>
      <c r="E80">
        <v>80</v>
      </c>
      <c r="F80" t="s">
        <v>50</v>
      </c>
    </row>
    <row r="81" spans="1:35" x14ac:dyDescent="0.2">
      <c r="A81" t="s">
        <v>26</v>
      </c>
      <c r="E81">
        <v>25</v>
      </c>
    </row>
    <row r="82" spans="1:35" x14ac:dyDescent="0.2">
      <c r="A82" t="s">
        <v>51</v>
      </c>
      <c r="E82">
        <v>20</v>
      </c>
      <c r="F82" t="s">
        <v>52</v>
      </c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x14ac:dyDescent="0.2">
      <c r="A83" t="s">
        <v>53</v>
      </c>
      <c r="E83">
        <v>0</v>
      </c>
      <c r="F83" t="s">
        <v>52</v>
      </c>
    </row>
    <row r="84" spans="1:35" x14ac:dyDescent="0.2">
      <c r="A84" t="s">
        <v>27</v>
      </c>
      <c r="E84">
        <v>0</v>
      </c>
      <c r="F84" t="s">
        <v>28</v>
      </c>
    </row>
    <row r="85" spans="1:35" x14ac:dyDescent="0.2">
      <c r="A85" t="s">
        <v>54</v>
      </c>
      <c r="E85">
        <v>20000</v>
      </c>
      <c r="F85" t="s">
        <v>55</v>
      </c>
    </row>
    <row r="86" spans="1:35" x14ac:dyDescent="0.2">
      <c r="A86" t="s">
        <v>29</v>
      </c>
      <c r="E86" t="s">
        <v>30</v>
      </c>
    </row>
    <row r="87" spans="1:35" x14ac:dyDescent="0.2">
      <c r="A87" t="s">
        <v>31</v>
      </c>
      <c r="B87" s="2" t="s">
        <v>59</v>
      </c>
    </row>
    <row r="89" spans="1:35" x14ac:dyDescent="0.2">
      <c r="B89" t="s">
        <v>32</v>
      </c>
    </row>
    <row r="90" spans="1:35" x14ac:dyDescent="0.2">
      <c r="A90" s="4" t="s">
        <v>33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35" x14ac:dyDescent="0.2">
      <c r="A91" s="4" t="s">
        <v>34</v>
      </c>
      <c r="B91">
        <v>2949</v>
      </c>
      <c r="C91">
        <v>11190</v>
      </c>
      <c r="D91">
        <v>9521</v>
      </c>
      <c r="E91">
        <v>3644</v>
      </c>
      <c r="F91">
        <v>3952</v>
      </c>
      <c r="G91">
        <v>2942</v>
      </c>
      <c r="H91">
        <v>10918</v>
      </c>
      <c r="I91">
        <v>6456</v>
      </c>
      <c r="J91">
        <v>3471</v>
      </c>
      <c r="K91">
        <v>4013</v>
      </c>
      <c r="L91">
        <v>2349</v>
      </c>
      <c r="N91">
        <f t="shared" ref="N91:W95" si="4">B91-2352</f>
        <v>597</v>
      </c>
      <c r="O91">
        <f t="shared" si="4"/>
        <v>8838</v>
      </c>
      <c r="P91">
        <f t="shared" si="4"/>
        <v>7169</v>
      </c>
      <c r="Q91">
        <f t="shared" si="4"/>
        <v>1292</v>
      </c>
      <c r="R91">
        <f t="shared" si="4"/>
        <v>1600</v>
      </c>
      <c r="S91">
        <f t="shared" si="4"/>
        <v>590</v>
      </c>
      <c r="T91">
        <f t="shared" si="4"/>
        <v>8566</v>
      </c>
      <c r="U91">
        <f t="shared" si="4"/>
        <v>4104</v>
      </c>
      <c r="V91">
        <f t="shared" si="4"/>
        <v>1119</v>
      </c>
      <c r="W91">
        <f t="shared" si="4"/>
        <v>1661</v>
      </c>
    </row>
    <row r="92" spans="1:35" x14ac:dyDescent="0.2">
      <c r="A92" s="4" t="s">
        <v>35</v>
      </c>
      <c r="B92">
        <v>3417</v>
      </c>
      <c r="C92">
        <v>11887</v>
      </c>
      <c r="D92">
        <v>10061</v>
      </c>
      <c r="E92">
        <v>3277</v>
      </c>
      <c r="F92">
        <v>4099</v>
      </c>
      <c r="G92">
        <v>3439</v>
      </c>
      <c r="H92">
        <v>10553</v>
      </c>
      <c r="I92">
        <v>4947</v>
      </c>
      <c r="J92">
        <v>3513</v>
      </c>
      <c r="K92">
        <v>4124</v>
      </c>
      <c r="L92">
        <v>2363</v>
      </c>
      <c r="N92">
        <f t="shared" si="4"/>
        <v>1065</v>
      </c>
      <c r="O92">
        <f t="shared" si="4"/>
        <v>9535</v>
      </c>
      <c r="P92">
        <f t="shared" si="4"/>
        <v>7709</v>
      </c>
      <c r="Q92">
        <f t="shared" si="4"/>
        <v>925</v>
      </c>
      <c r="R92">
        <f t="shared" si="4"/>
        <v>1747</v>
      </c>
      <c r="S92">
        <f t="shared" si="4"/>
        <v>1087</v>
      </c>
      <c r="T92">
        <f t="shared" si="4"/>
        <v>8201</v>
      </c>
      <c r="U92">
        <f t="shared" si="4"/>
        <v>2595</v>
      </c>
      <c r="V92">
        <f t="shared" si="4"/>
        <v>1161</v>
      </c>
      <c r="W92">
        <f t="shared" si="4"/>
        <v>1772</v>
      </c>
    </row>
    <row r="93" spans="1:35" x14ac:dyDescent="0.2">
      <c r="A93" s="4" t="s">
        <v>36</v>
      </c>
      <c r="B93">
        <v>3358</v>
      </c>
      <c r="C93">
        <v>10827</v>
      </c>
      <c r="D93">
        <v>6548</v>
      </c>
      <c r="E93">
        <v>3546</v>
      </c>
      <c r="F93">
        <v>4053</v>
      </c>
      <c r="G93">
        <v>3493</v>
      </c>
      <c r="H93">
        <v>9437</v>
      </c>
      <c r="I93">
        <v>6518</v>
      </c>
      <c r="J93">
        <v>3389</v>
      </c>
      <c r="K93">
        <v>4107</v>
      </c>
      <c r="L93">
        <v>2343</v>
      </c>
      <c r="N93">
        <f t="shared" si="4"/>
        <v>1006</v>
      </c>
      <c r="O93">
        <f t="shared" si="4"/>
        <v>8475</v>
      </c>
      <c r="P93">
        <f t="shared" si="4"/>
        <v>4196</v>
      </c>
      <c r="Q93">
        <f t="shared" si="4"/>
        <v>1194</v>
      </c>
      <c r="R93">
        <f t="shared" si="4"/>
        <v>1701</v>
      </c>
      <c r="S93">
        <f t="shared" si="4"/>
        <v>1141</v>
      </c>
      <c r="T93">
        <f t="shared" si="4"/>
        <v>7085</v>
      </c>
      <c r="U93">
        <f t="shared" si="4"/>
        <v>4166</v>
      </c>
      <c r="V93">
        <f t="shared" si="4"/>
        <v>1037</v>
      </c>
      <c r="W93">
        <f t="shared" si="4"/>
        <v>1755</v>
      </c>
    </row>
    <row r="94" spans="1:35" x14ac:dyDescent="0.2">
      <c r="A94" s="4" t="s">
        <v>37</v>
      </c>
      <c r="B94">
        <v>3000</v>
      </c>
      <c r="C94">
        <v>11118</v>
      </c>
      <c r="D94">
        <v>8997</v>
      </c>
      <c r="E94">
        <v>5086</v>
      </c>
      <c r="F94">
        <v>4007</v>
      </c>
      <c r="G94">
        <v>3542</v>
      </c>
      <c r="H94">
        <v>11010</v>
      </c>
      <c r="I94">
        <v>6082</v>
      </c>
      <c r="J94">
        <v>3539</v>
      </c>
      <c r="K94">
        <v>3975</v>
      </c>
      <c r="L94">
        <v>194</v>
      </c>
      <c r="N94">
        <f t="shared" si="4"/>
        <v>648</v>
      </c>
      <c r="O94">
        <f t="shared" si="4"/>
        <v>8766</v>
      </c>
      <c r="P94">
        <f t="shared" si="4"/>
        <v>6645</v>
      </c>
      <c r="Q94">
        <f t="shared" si="4"/>
        <v>2734</v>
      </c>
      <c r="R94">
        <f t="shared" si="4"/>
        <v>1655</v>
      </c>
      <c r="S94">
        <f t="shared" si="4"/>
        <v>1190</v>
      </c>
      <c r="T94">
        <f t="shared" si="4"/>
        <v>8658</v>
      </c>
      <c r="U94">
        <f t="shared" si="4"/>
        <v>3730</v>
      </c>
      <c r="V94">
        <f t="shared" si="4"/>
        <v>1187</v>
      </c>
      <c r="W94">
        <f t="shared" si="4"/>
        <v>1623</v>
      </c>
    </row>
    <row r="95" spans="1:35" x14ac:dyDescent="0.2">
      <c r="A95" s="4" t="s">
        <v>38</v>
      </c>
      <c r="B95">
        <v>3017</v>
      </c>
      <c r="C95">
        <v>7990</v>
      </c>
      <c r="D95">
        <v>8859</v>
      </c>
      <c r="E95">
        <v>3336</v>
      </c>
      <c r="F95">
        <v>3967</v>
      </c>
      <c r="G95">
        <v>3063</v>
      </c>
      <c r="H95">
        <v>9304</v>
      </c>
      <c r="I95">
        <v>4747</v>
      </c>
      <c r="J95">
        <v>3286</v>
      </c>
      <c r="K95">
        <v>3605</v>
      </c>
      <c r="L95">
        <v>191</v>
      </c>
      <c r="N95">
        <f t="shared" si="4"/>
        <v>665</v>
      </c>
      <c r="O95">
        <f t="shared" si="4"/>
        <v>5638</v>
      </c>
      <c r="P95">
        <f t="shared" si="4"/>
        <v>6507</v>
      </c>
      <c r="Q95">
        <f t="shared" si="4"/>
        <v>984</v>
      </c>
      <c r="R95">
        <f t="shared" si="4"/>
        <v>1615</v>
      </c>
      <c r="S95">
        <f t="shared" si="4"/>
        <v>711</v>
      </c>
      <c r="T95">
        <f t="shared" si="4"/>
        <v>6952</v>
      </c>
      <c r="U95">
        <f t="shared" si="4"/>
        <v>2395</v>
      </c>
      <c r="V95">
        <f t="shared" si="4"/>
        <v>934</v>
      </c>
      <c r="W95">
        <f t="shared" si="4"/>
        <v>1253</v>
      </c>
    </row>
    <row r="97" spans="1:12" x14ac:dyDescent="0.2">
      <c r="L97">
        <f>AVERAGE(L91:L93)</f>
        <v>2351.6666666666665</v>
      </c>
    </row>
    <row r="100" spans="1:12" x14ac:dyDescent="0.2">
      <c r="A100" t="s">
        <v>39</v>
      </c>
      <c r="B100" s="2" t="s">
        <v>60</v>
      </c>
    </row>
    <row r="105" spans="1:12" x14ac:dyDescent="0.2">
      <c r="A105" t="s">
        <v>61</v>
      </c>
    </row>
    <row r="106" spans="1:12" x14ac:dyDescent="0.2">
      <c r="A106" t="s">
        <v>21</v>
      </c>
      <c r="E106" t="s">
        <v>44</v>
      </c>
    </row>
    <row r="107" spans="1:12" x14ac:dyDescent="0.2">
      <c r="A107" t="s">
        <v>45</v>
      </c>
      <c r="E107">
        <v>488</v>
      </c>
      <c r="F107" t="s">
        <v>24</v>
      </c>
    </row>
    <row r="108" spans="1:12" x14ac:dyDescent="0.2">
      <c r="A108" t="s">
        <v>46</v>
      </c>
      <c r="E108">
        <v>520</v>
      </c>
      <c r="F108" t="s">
        <v>24</v>
      </c>
    </row>
    <row r="109" spans="1:12" x14ac:dyDescent="0.2">
      <c r="A109" t="s">
        <v>47</v>
      </c>
      <c r="E109">
        <v>9</v>
      </c>
      <c r="F109" t="s">
        <v>24</v>
      </c>
    </row>
    <row r="110" spans="1:12" x14ac:dyDescent="0.2">
      <c r="A110" t="s">
        <v>48</v>
      </c>
      <c r="E110">
        <v>20</v>
      </c>
      <c r="F110" t="s">
        <v>24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26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27</v>
      </c>
      <c r="E115">
        <v>0</v>
      </c>
      <c r="F115" t="s">
        <v>28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29</v>
      </c>
      <c r="E117" t="s">
        <v>30</v>
      </c>
    </row>
    <row r="118" spans="1:12" x14ac:dyDescent="0.2">
      <c r="A118" t="s">
        <v>31</v>
      </c>
      <c r="B118" s="2" t="s">
        <v>62</v>
      </c>
    </row>
    <row r="120" spans="1:12" x14ac:dyDescent="0.2">
      <c r="B120" t="s">
        <v>32</v>
      </c>
    </row>
    <row r="121" spans="1:12" x14ac:dyDescent="0.2">
      <c r="A121" s="4" t="s">
        <v>33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34</v>
      </c>
      <c r="B122">
        <v>14122</v>
      </c>
      <c r="C122">
        <v>53215</v>
      </c>
      <c r="D122">
        <v>45605</v>
      </c>
      <c r="E122">
        <v>17620</v>
      </c>
      <c r="F122">
        <v>19092</v>
      </c>
      <c r="G122">
        <v>14323</v>
      </c>
      <c r="H122">
        <v>52063</v>
      </c>
      <c r="I122">
        <v>30980</v>
      </c>
      <c r="J122">
        <v>16864</v>
      </c>
      <c r="K122">
        <v>19320</v>
      </c>
      <c r="L122">
        <v>11263</v>
      </c>
    </row>
    <row r="123" spans="1:12" x14ac:dyDescent="0.2">
      <c r="A123" s="4" t="s">
        <v>35</v>
      </c>
      <c r="B123">
        <v>16573</v>
      </c>
      <c r="C123">
        <v>56564</v>
      </c>
      <c r="D123">
        <v>47897</v>
      </c>
      <c r="E123">
        <v>15799</v>
      </c>
      <c r="F123">
        <v>19756</v>
      </c>
      <c r="G123">
        <v>16600</v>
      </c>
      <c r="H123">
        <v>50152</v>
      </c>
      <c r="I123">
        <v>23764</v>
      </c>
      <c r="J123">
        <v>16828</v>
      </c>
      <c r="K123">
        <v>19798</v>
      </c>
      <c r="L123">
        <v>11359</v>
      </c>
    </row>
    <row r="124" spans="1:12" x14ac:dyDescent="0.2">
      <c r="A124" s="4" t="s">
        <v>36</v>
      </c>
      <c r="B124">
        <v>16125</v>
      </c>
      <c r="C124">
        <v>51741</v>
      </c>
      <c r="D124">
        <v>31539</v>
      </c>
      <c r="E124">
        <v>17077</v>
      </c>
      <c r="F124">
        <v>19578</v>
      </c>
      <c r="G124">
        <v>16896</v>
      </c>
      <c r="H124">
        <v>45238</v>
      </c>
      <c r="I124">
        <v>31328</v>
      </c>
      <c r="J124">
        <v>16388</v>
      </c>
      <c r="K124">
        <v>19875</v>
      </c>
      <c r="L124">
        <v>11353</v>
      </c>
    </row>
    <row r="125" spans="1:12" x14ac:dyDescent="0.2">
      <c r="A125" s="4" t="s">
        <v>37</v>
      </c>
      <c r="B125">
        <v>14432</v>
      </c>
      <c r="C125">
        <v>53005</v>
      </c>
      <c r="D125">
        <v>42981</v>
      </c>
      <c r="E125">
        <v>24418</v>
      </c>
      <c r="F125">
        <v>19323</v>
      </c>
      <c r="G125">
        <v>17115</v>
      </c>
      <c r="H125">
        <v>52465</v>
      </c>
      <c r="I125">
        <v>29278</v>
      </c>
      <c r="J125">
        <v>17168</v>
      </c>
      <c r="K125">
        <v>19074</v>
      </c>
      <c r="L125">
        <v>911</v>
      </c>
    </row>
    <row r="126" spans="1:12" x14ac:dyDescent="0.2">
      <c r="A126" s="4" t="s">
        <v>38</v>
      </c>
      <c r="B126">
        <v>14590</v>
      </c>
      <c r="C126">
        <v>38380</v>
      </c>
      <c r="D126">
        <v>42428</v>
      </c>
      <c r="E126">
        <v>16071</v>
      </c>
      <c r="F126">
        <v>19033</v>
      </c>
      <c r="G126">
        <v>14801</v>
      </c>
      <c r="H126">
        <v>44427</v>
      </c>
      <c r="I126">
        <v>22789</v>
      </c>
      <c r="J126">
        <v>15793</v>
      </c>
      <c r="K126">
        <v>17291</v>
      </c>
      <c r="L126">
        <v>923</v>
      </c>
    </row>
    <row r="131" spans="1:2" x14ac:dyDescent="0.2">
      <c r="A131" t="s">
        <v>39</v>
      </c>
      <c r="B131" s="2" t="s">
        <v>63</v>
      </c>
    </row>
  </sheetData>
  <mergeCells count="4">
    <mergeCell ref="N68:R68"/>
    <mergeCell ref="S68:W68"/>
    <mergeCell ref="Z82:AD82"/>
    <mergeCell ref="AE82:AI82"/>
  </mergeCells>
  <conditionalFormatting sqref="N76:Q76">
    <cfRule type="colorScale" priority="5">
      <colorScale>
        <cfvo type="min"/>
        <cfvo type="max"/>
        <color rgb="FFFCFCFF"/>
        <color rgb="FF63BE7B"/>
      </colorScale>
    </cfRule>
  </conditionalFormatting>
  <conditionalFormatting sqref="N70:R74">
    <cfRule type="colorScale" priority="13">
      <colorScale>
        <cfvo type="min"/>
        <cfvo type="max"/>
        <color rgb="FFFCFCFF"/>
        <color rgb="FF63BE7B"/>
      </colorScale>
    </cfRule>
  </conditionalFormatting>
  <conditionalFormatting sqref="R76">
    <cfRule type="colorScale" priority="3">
      <colorScale>
        <cfvo type="min"/>
        <cfvo type="max"/>
        <color rgb="FFFCFCFF"/>
        <color rgb="FF63BE7B"/>
      </colorScale>
    </cfRule>
  </conditionalFormatting>
  <conditionalFormatting sqref="S76">
    <cfRule type="colorScale" priority="4">
      <colorScale>
        <cfvo type="min"/>
        <cfvo type="max"/>
        <color rgb="FFFCFCFF"/>
        <color rgb="FF63BE7B"/>
      </colorScale>
    </cfRule>
  </conditionalFormatting>
  <conditionalFormatting sqref="S70:W74">
    <cfRule type="colorScale" priority="12">
      <colorScale>
        <cfvo type="min"/>
        <cfvo type="max"/>
        <color rgb="FFFCFCFF"/>
        <color rgb="FF63BE7B"/>
      </colorScale>
    </cfRule>
  </conditionalFormatting>
  <conditionalFormatting sqref="T76:V76">
    <cfRule type="colorScale" priority="1">
      <colorScale>
        <cfvo type="min"/>
        <cfvo type="max"/>
        <color rgb="FFFCFCFF"/>
        <color rgb="FF63BE7B"/>
      </colorScale>
    </cfRule>
  </conditionalFormatting>
  <conditionalFormatting sqref="W76">
    <cfRule type="colorScale" priority="2">
      <colorScale>
        <cfvo type="min"/>
        <cfvo type="max"/>
        <color rgb="FFFCFCFF"/>
        <color rgb="FF63BE7B"/>
      </colorScale>
    </cfRule>
  </conditionalFormatting>
  <conditionalFormatting sqref="Z84:AD88">
    <cfRule type="colorScale" priority="11">
      <colorScale>
        <cfvo type="min"/>
        <cfvo type="max"/>
        <color rgb="FFFCFCFF"/>
        <color rgb="FF63BE7B"/>
      </colorScale>
    </cfRule>
  </conditionalFormatting>
  <conditionalFormatting sqref="AE84:AI88">
    <cfRule type="colorScale" priority="1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2025-10-25T01:15:18Z</dcterms:modified>
</cp:coreProperties>
</file>