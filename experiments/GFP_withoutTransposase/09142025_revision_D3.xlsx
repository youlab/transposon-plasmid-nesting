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96F94AC1-3297-7843-84CC-214032D394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8" i="2" l="1"/>
  <c r="Q78" i="2"/>
  <c r="P78" i="2"/>
  <c r="O78" i="2"/>
  <c r="N78" i="2"/>
  <c r="W76" i="2"/>
  <c r="W78" i="2" s="1"/>
  <c r="V76" i="2"/>
  <c r="V78" i="2" s="1"/>
  <c r="U76" i="2"/>
  <c r="T76" i="2"/>
  <c r="T78" i="2" s="1"/>
  <c r="S76" i="2"/>
  <c r="S78" i="2" s="1"/>
  <c r="R76" i="2"/>
  <c r="R78" i="2" s="1"/>
  <c r="Q76" i="2"/>
  <c r="P76" i="2"/>
  <c r="O76" i="2"/>
  <c r="N76" i="2"/>
  <c r="W74" i="2" l="1"/>
  <c r="V74" i="2"/>
  <c r="U74" i="2"/>
  <c r="T74" i="2"/>
  <c r="S74" i="2"/>
  <c r="R74" i="2"/>
  <c r="Q74" i="2"/>
  <c r="P74" i="2"/>
  <c r="O74" i="2"/>
  <c r="N74" i="2"/>
  <c r="W73" i="2"/>
  <c r="V73" i="2"/>
  <c r="U73" i="2"/>
  <c r="T73" i="2"/>
  <c r="S73" i="2"/>
  <c r="R73" i="2"/>
  <c r="Q73" i="2"/>
  <c r="P73" i="2"/>
  <c r="O73" i="2"/>
  <c r="N73" i="2"/>
  <c r="W72" i="2"/>
  <c r="V72" i="2"/>
  <c r="U72" i="2"/>
  <c r="T72" i="2"/>
  <c r="S72" i="2"/>
  <c r="R72" i="2"/>
  <c r="Q72" i="2"/>
  <c r="P72" i="2"/>
  <c r="O72" i="2"/>
  <c r="N72" i="2"/>
  <c r="W71" i="2"/>
  <c r="V71" i="2"/>
  <c r="U71" i="2"/>
  <c r="T71" i="2"/>
  <c r="S71" i="2"/>
  <c r="R71" i="2"/>
  <c r="Q71" i="2"/>
  <c r="P71" i="2"/>
  <c r="O71" i="2"/>
  <c r="N71" i="2"/>
  <c r="W70" i="2"/>
  <c r="V70" i="2"/>
  <c r="U70" i="2"/>
  <c r="T70" i="2"/>
  <c r="S70" i="2"/>
  <c r="R70" i="2"/>
  <c r="Q70" i="2"/>
  <c r="P70" i="2"/>
  <c r="O70" i="2"/>
  <c r="N70" i="2"/>
  <c r="W95" i="2"/>
  <c r="V95" i="2"/>
  <c r="U95" i="2"/>
  <c r="T95" i="2"/>
  <c r="S95" i="2"/>
  <c r="R95" i="2"/>
  <c r="Q95" i="2"/>
  <c r="P95" i="2"/>
  <c r="O95" i="2"/>
  <c r="W94" i="2"/>
  <c r="V94" i="2"/>
  <c r="U94" i="2"/>
  <c r="T94" i="2"/>
  <c r="S94" i="2"/>
  <c r="R94" i="2"/>
  <c r="Q94" i="2"/>
  <c r="P94" i="2"/>
  <c r="O94" i="2"/>
  <c r="W93" i="2"/>
  <c r="V93" i="2"/>
  <c r="U93" i="2"/>
  <c r="T93" i="2"/>
  <c r="S93" i="2"/>
  <c r="R93" i="2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V91" i="2"/>
  <c r="U91" i="2"/>
  <c r="T91" i="2"/>
  <c r="S91" i="2"/>
  <c r="R91" i="2"/>
  <c r="Q91" i="2"/>
  <c r="P91" i="2"/>
  <c r="O91" i="2"/>
  <c r="N95" i="2"/>
  <c r="N94" i="2"/>
  <c r="N93" i="2"/>
  <c r="N92" i="2"/>
  <c r="N91" i="2"/>
  <c r="W33" i="2"/>
  <c r="V33" i="2"/>
  <c r="U33" i="2"/>
  <c r="T33" i="2"/>
  <c r="S33" i="2"/>
  <c r="R33" i="2"/>
  <c r="Q33" i="2"/>
  <c r="P33" i="2"/>
  <c r="O33" i="2"/>
  <c r="W32" i="2"/>
  <c r="V32" i="2"/>
  <c r="U32" i="2"/>
  <c r="T32" i="2"/>
  <c r="S32" i="2"/>
  <c r="R32" i="2"/>
  <c r="Q32" i="2"/>
  <c r="P32" i="2"/>
  <c r="O32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S30" i="2"/>
  <c r="R30" i="2"/>
  <c r="Q30" i="2"/>
  <c r="P30" i="2"/>
  <c r="O30" i="2"/>
  <c r="W29" i="2"/>
  <c r="V29" i="2"/>
  <c r="U29" i="2"/>
  <c r="T29" i="2"/>
  <c r="S29" i="2"/>
  <c r="R29" i="2"/>
  <c r="Q29" i="2"/>
  <c r="P29" i="2"/>
  <c r="O29" i="2"/>
  <c r="N33" i="2"/>
  <c r="N32" i="2"/>
  <c r="N31" i="2"/>
  <c r="N30" i="2"/>
  <c r="N29" i="2"/>
  <c r="L97" i="2"/>
  <c r="L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<sst xmlns="http://schemas.openxmlformats.org/spreadsheetml/2006/main" count="161" uniqueCount="71">
  <si>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</si>
  <si>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</si>
  <si>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</si>
  <si>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</si>
  <si>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</si>
  <si>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</si>
  <si>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</si>
  <si>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</si>
  <si>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</si>
  <si>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4:33:36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</si>
  <si>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</si>
  <si>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</si>
  <si>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</si>
  <si>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</si>
  <si>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</si>
  <si>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</si>
  <si>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</si>
  <si>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</si>
  <si>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</si>
  <si>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</si>
  <si>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</si>
  <si>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</si>
  <si>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</si>
  <si>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</si>
  <si>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</si>
  <si>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</si>
  <si>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</si>
  <si>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</si>
  <si>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</si>
  <si>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</si>
  <si>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</si>
  <si>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</si>
  <si>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</si>
  <si>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9/14/2025 4:33:41 PM</t>
  </si>
  <si>
    <t>Temperature: 27 °C</t>
  </si>
  <si>
    <t>&lt;&gt;</t>
  </si>
  <si>
    <t>B</t>
  </si>
  <si>
    <t>C</t>
  </si>
  <si>
    <t>D</t>
  </si>
  <si>
    <t>E</t>
  </si>
  <si>
    <t>F</t>
  </si>
  <si>
    <t>End Time:</t>
  </si>
  <si>
    <t>9/14/2025 4:34:07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</si>
  <si>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</si>
  <si>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</si>
  <si>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</si>
  <si>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</si>
  <si>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</si>
  <si>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</si>
  <si>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</si>
  <si>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</si>
  <si>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</si>
  <si>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</si>
  <si>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</si>
  <si>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</si>
  <si>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</si>
  <si>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9/14/2025 4:34:12 PM</t>
  </si>
  <si>
    <t>9/14/2025 4:35:00 PM</t>
  </si>
  <si>
    <t>Label: gfp 80</t>
  </si>
  <si>
    <t>9/14/2025 4:35:07 PM</t>
  </si>
  <si>
    <t>9/14/2025 4:35:55 PM</t>
  </si>
  <si>
    <t>Label: gfp100</t>
  </si>
  <si>
    <t>9/14/2025 4:36:03 PM</t>
  </si>
  <si>
    <t>9/14/2025 4:36:51 PM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</si>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</sst>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B52" workbookViewId="0">
      <selection activeCell="Q85" sqref="Q85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45914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1.0823999643325806</v>
      </c>
      <c r="C29">
        <v>1.0463999509811401</v>
      </c>
      <c r="D29">
        <v>1.0080000162124634</v>
      </c>
      <c r="E29">
        <v>1.000499963760376</v>
      </c>
      <c r="F29">
        <v>1.0903999805450439</v>
      </c>
      <c r="G29">
        <v>1.1109000444412231</v>
      </c>
      <c r="H29">
        <v>1.0644999742507935</v>
      </c>
      <c r="I29">
        <v>1.0525000095367432</v>
      </c>
      <c r="J29">
        <v>0.98659998178482056</v>
      </c>
      <c r="K29">
        <v>0.97049999237060547</v>
      </c>
      <c r="L29">
        <v>3.8899999111890793E-2</v>
      </c>
      <c r="N29">
        <f t="shared" ref="N29:W33" si="0">B29-0.039</f>
        <v>1.0433999643325806</v>
      </c>
      <c r="O29">
        <f t="shared" si="0"/>
        <v>1.0073999509811402</v>
      </c>
      <c r="P29">
        <f t="shared" si="0"/>
        <v>0.96900001621246334</v>
      </c>
      <c r="Q29">
        <f t="shared" si="0"/>
        <v>0.96149996376037594</v>
      </c>
      <c r="R29">
        <f t="shared" si="0"/>
        <v>1.051399980545044</v>
      </c>
      <c r="S29">
        <f t="shared" si="0"/>
        <v>1.0719000444412232</v>
      </c>
      <c r="T29">
        <f t="shared" si="0"/>
        <v>1.0254999742507935</v>
      </c>
      <c r="U29">
        <f t="shared" si="0"/>
        <v>1.0135000095367432</v>
      </c>
      <c r="V29">
        <f t="shared" si="0"/>
        <v>0.94759998178482052</v>
      </c>
      <c r="W29">
        <f t="shared" si="0"/>
        <v>0.93149999237060543</v>
      </c>
    </row>
    <row r="30" spans="1:23" x14ac:dyDescent="0.2">
      <c r="A30" s="4" t="s">
        <v>37</v>
      </c>
      <c r="B30">
        <v>0.875</v>
      </c>
      <c r="C30">
        <v>0.91100001335144043</v>
      </c>
      <c r="D30">
        <v>1.0463000535964966</v>
      </c>
      <c r="E30">
        <v>0.95410001277923584</v>
      </c>
      <c r="F30">
        <v>1.0865000486373901</v>
      </c>
      <c r="G30">
        <v>0.9617999792098999</v>
      </c>
      <c r="H30">
        <v>0.86360001564025879</v>
      </c>
      <c r="I30">
        <v>1.030500054359436</v>
      </c>
      <c r="J30">
        <v>1.0803999900817871</v>
      </c>
      <c r="K30">
        <v>1.0819000005722046</v>
      </c>
      <c r="L30">
        <v>3.9500001817941666E-2</v>
      </c>
      <c r="N30">
        <f t="shared" si="0"/>
        <v>0.83599999999999997</v>
      </c>
      <c r="O30">
        <f t="shared" si="0"/>
        <v>0.8720000133514404</v>
      </c>
      <c r="P30">
        <f t="shared" si="0"/>
        <v>1.0073000535964967</v>
      </c>
      <c r="Q30">
        <f t="shared" si="0"/>
        <v>0.91510001277923581</v>
      </c>
      <c r="R30">
        <f t="shared" si="0"/>
        <v>1.0475000486373902</v>
      </c>
      <c r="S30">
        <f t="shared" si="0"/>
        <v>0.92279997920989987</v>
      </c>
      <c r="T30">
        <f t="shared" si="0"/>
        <v>0.82460001564025875</v>
      </c>
      <c r="U30">
        <f t="shared" si="0"/>
        <v>0.991500054359436</v>
      </c>
      <c r="V30">
        <f t="shared" si="0"/>
        <v>1.0413999900817872</v>
      </c>
      <c r="W30">
        <f t="shared" si="0"/>
        <v>1.0429000005722047</v>
      </c>
    </row>
    <row r="31" spans="1:23" x14ac:dyDescent="0.2">
      <c r="A31" s="4" t="s">
        <v>38</v>
      </c>
      <c r="B31">
        <v>1.0440000295639038</v>
      </c>
      <c r="C31">
        <v>0.91490000486373901</v>
      </c>
      <c r="D31">
        <v>0.94660001993179321</v>
      </c>
      <c r="E31">
        <v>0.98860001564025879</v>
      </c>
      <c r="F31">
        <v>0.88969999551773071</v>
      </c>
      <c r="G31">
        <v>1.0570000410079956</v>
      </c>
      <c r="H31">
        <v>1.0357999801635742</v>
      </c>
      <c r="I31">
        <v>1.0636999607086182</v>
      </c>
      <c r="J31">
        <v>1.0881999731063843</v>
      </c>
      <c r="K31">
        <v>1.0422999858856201</v>
      </c>
      <c r="L31">
        <v>3.9400000125169754E-2</v>
      </c>
      <c r="N31">
        <f t="shared" si="0"/>
        <v>1.0050000295639039</v>
      </c>
      <c r="O31">
        <f t="shared" si="0"/>
        <v>0.87590000486373898</v>
      </c>
      <c r="P31">
        <f t="shared" si="0"/>
        <v>0.90760001993179318</v>
      </c>
      <c r="Q31">
        <f t="shared" si="0"/>
        <v>0.94960001564025875</v>
      </c>
      <c r="R31">
        <f t="shared" si="0"/>
        <v>0.85069999551773068</v>
      </c>
      <c r="S31">
        <f t="shared" si="0"/>
        <v>1.0180000410079957</v>
      </c>
      <c r="T31">
        <f t="shared" si="0"/>
        <v>0.99679998016357418</v>
      </c>
      <c r="U31">
        <f t="shared" si="0"/>
        <v>1.0246999607086182</v>
      </c>
      <c r="V31">
        <f t="shared" si="0"/>
        <v>1.0491999731063844</v>
      </c>
      <c r="W31">
        <f t="shared" si="0"/>
        <v>1.0032999858856202</v>
      </c>
    </row>
    <row r="32" spans="1:23" x14ac:dyDescent="0.2">
      <c r="A32" s="4" t="s">
        <v>39</v>
      </c>
      <c r="B32">
        <v>0.92549997568130493</v>
      </c>
      <c r="C32">
        <v>0.90049999952316284</v>
      </c>
      <c r="D32">
        <v>0.93870002031326294</v>
      </c>
      <c r="E32">
        <v>0.84780001640319824</v>
      </c>
      <c r="F32">
        <v>0.8945000171661377</v>
      </c>
      <c r="G32">
        <v>0.99169999361038208</v>
      </c>
      <c r="H32">
        <v>0.95359998941421509</v>
      </c>
      <c r="I32">
        <v>0.98170000314712524</v>
      </c>
      <c r="J32">
        <v>0.98949998617172241</v>
      </c>
      <c r="K32">
        <v>0.85949999094009399</v>
      </c>
      <c r="L32">
        <v>4.4300001114606857E-2</v>
      </c>
      <c r="N32">
        <f t="shared" si="0"/>
        <v>0.8864999756813049</v>
      </c>
      <c r="O32">
        <f t="shared" si="0"/>
        <v>0.86149999952316281</v>
      </c>
      <c r="P32">
        <f t="shared" si="0"/>
        <v>0.8997000203132629</v>
      </c>
      <c r="Q32">
        <f t="shared" si="0"/>
        <v>0.80880001640319821</v>
      </c>
      <c r="R32">
        <f t="shared" si="0"/>
        <v>0.85550001716613766</v>
      </c>
      <c r="S32">
        <f t="shared" si="0"/>
        <v>0.95269999361038205</v>
      </c>
      <c r="T32">
        <f t="shared" si="0"/>
        <v>0.91459998941421505</v>
      </c>
      <c r="U32">
        <f t="shared" si="0"/>
        <v>0.94270000314712521</v>
      </c>
      <c r="V32">
        <f t="shared" si="0"/>
        <v>0.95049998617172238</v>
      </c>
      <c r="W32">
        <f t="shared" si="0"/>
        <v>0.82049999094009396</v>
      </c>
    </row>
    <row r="33" spans="1:23" x14ac:dyDescent="0.2">
      <c r="A33" s="4" t="s">
        <v>40</v>
      </c>
      <c r="B33">
        <v>0.92799997329711914</v>
      </c>
      <c r="C33">
        <v>0.87199997901916504</v>
      </c>
      <c r="D33">
        <v>0.82300001382827759</v>
      </c>
      <c r="E33">
        <v>0.89319998025894165</v>
      </c>
      <c r="F33">
        <v>0.94539999961853027</v>
      </c>
      <c r="G33">
        <v>0.88599997758865356</v>
      </c>
      <c r="H33">
        <v>0.89620000123977661</v>
      </c>
      <c r="I33">
        <v>0.92699998617172241</v>
      </c>
      <c r="J33">
        <v>0.9495999813079834</v>
      </c>
      <c r="K33">
        <v>0.96009999513626099</v>
      </c>
      <c r="L33">
        <v>4.4599998742341995E-2</v>
      </c>
      <c r="N33">
        <f t="shared" si="0"/>
        <v>0.88899997329711911</v>
      </c>
      <c r="O33">
        <f t="shared" si="0"/>
        <v>0.832999979019165</v>
      </c>
      <c r="P33">
        <f t="shared" si="0"/>
        <v>0.78400001382827755</v>
      </c>
      <c r="Q33">
        <f t="shared" si="0"/>
        <v>0.85419998025894162</v>
      </c>
      <c r="R33">
        <f t="shared" si="0"/>
        <v>0.90639999961853024</v>
      </c>
      <c r="S33">
        <f t="shared" si="0"/>
        <v>0.84699997758865353</v>
      </c>
      <c r="T33">
        <f t="shared" si="0"/>
        <v>0.85720000123977658</v>
      </c>
      <c r="U33">
        <f t="shared" si="0"/>
        <v>0.88799998617172238</v>
      </c>
      <c r="V33">
        <f t="shared" si="0"/>
        <v>0.91059998130798336</v>
      </c>
      <c r="W33">
        <f t="shared" si="0"/>
        <v>0.92109999513626095</v>
      </c>
    </row>
    <row r="35" spans="1:23" x14ac:dyDescent="0.2">
      <c r="L35">
        <f>AVERAGE(L29:L31)</f>
        <v>3.9266667018334069E-2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62</v>
      </c>
      <c r="C60">
        <v>322</v>
      </c>
      <c r="D60">
        <v>374</v>
      </c>
      <c r="E60">
        <v>84</v>
      </c>
      <c r="F60">
        <v>81</v>
      </c>
      <c r="G60">
        <v>63</v>
      </c>
      <c r="H60">
        <v>330</v>
      </c>
      <c r="I60">
        <v>257</v>
      </c>
      <c r="J60">
        <v>57</v>
      </c>
      <c r="K60">
        <v>77</v>
      </c>
      <c r="L60">
        <v>44</v>
      </c>
    </row>
    <row r="61" spans="1:12" x14ac:dyDescent="0.2">
      <c r="A61" s="4" t="s">
        <v>37</v>
      </c>
      <c r="B61">
        <v>48</v>
      </c>
      <c r="C61">
        <v>295</v>
      </c>
      <c r="D61">
        <v>351</v>
      </c>
      <c r="E61">
        <v>89</v>
      </c>
      <c r="F61">
        <v>82</v>
      </c>
      <c r="G61">
        <v>53</v>
      </c>
      <c r="H61">
        <v>269</v>
      </c>
      <c r="I61">
        <v>248</v>
      </c>
      <c r="J61">
        <v>70</v>
      </c>
      <c r="K61">
        <v>82</v>
      </c>
      <c r="L61">
        <v>44</v>
      </c>
    </row>
    <row r="62" spans="1:12" x14ac:dyDescent="0.2">
      <c r="A62" s="4" t="s">
        <v>38</v>
      </c>
      <c r="B62">
        <v>61</v>
      </c>
      <c r="C62">
        <v>299</v>
      </c>
      <c r="D62">
        <v>336</v>
      </c>
      <c r="E62">
        <v>81</v>
      </c>
      <c r="F62">
        <v>64</v>
      </c>
      <c r="G62">
        <v>62</v>
      </c>
      <c r="H62">
        <v>319</v>
      </c>
      <c r="I62">
        <v>254</v>
      </c>
      <c r="J62">
        <v>69</v>
      </c>
      <c r="K62">
        <v>78</v>
      </c>
      <c r="L62">
        <v>44</v>
      </c>
    </row>
    <row r="63" spans="1:12" x14ac:dyDescent="0.2">
      <c r="A63" s="4" t="s">
        <v>39</v>
      </c>
      <c r="B63">
        <v>61</v>
      </c>
      <c r="C63">
        <v>284</v>
      </c>
      <c r="D63">
        <v>320</v>
      </c>
      <c r="E63">
        <v>115</v>
      </c>
      <c r="F63">
        <v>71</v>
      </c>
      <c r="G63">
        <v>62</v>
      </c>
      <c r="H63">
        <v>300</v>
      </c>
      <c r="I63">
        <v>255</v>
      </c>
      <c r="J63">
        <v>67</v>
      </c>
      <c r="K63">
        <v>68</v>
      </c>
      <c r="L63">
        <v>9</v>
      </c>
    </row>
    <row r="64" spans="1:12" x14ac:dyDescent="0.2">
      <c r="A64" s="4" t="s">
        <v>40</v>
      </c>
      <c r="B64">
        <v>57</v>
      </c>
      <c r="C64">
        <v>283</v>
      </c>
      <c r="D64">
        <v>308</v>
      </c>
      <c r="E64">
        <v>87</v>
      </c>
      <c r="F64">
        <v>80</v>
      </c>
      <c r="G64">
        <v>55</v>
      </c>
      <c r="H64">
        <v>280</v>
      </c>
      <c r="I64">
        <v>227</v>
      </c>
      <c r="J64">
        <v>62</v>
      </c>
      <c r="K64">
        <v>78</v>
      </c>
      <c r="L64">
        <v>8</v>
      </c>
    </row>
    <row r="68" spans="1:23" x14ac:dyDescent="0.2">
      <c r="N68" s="13" t="s">
        <v>64</v>
      </c>
      <c r="O68" s="13"/>
      <c r="P68" s="13"/>
      <c r="Q68" s="13"/>
      <c r="R68" s="13"/>
      <c r="S68" s="13" t="s">
        <v>65</v>
      </c>
      <c r="T68" s="13"/>
      <c r="U68" s="13"/>
      <c r="V68" s="13"/>
      <c r="W68" s="13"/>
    </row>
    <row r="69" spans="1:23" ht="16" thickBot="1" x14ac:dyDescent="0.25">
      <c r="A69" t="s">
        <v>41</v>
      </c>
      <c r="B69" s="2" t="s">
        <v>57</v>
      </c>
      <c r="N69" t="s">
        <v>66</v>
      </c>
      <c r="O69" t="s">
        <v>67</v>
      </c>
      <c r="P69" t="s">
        <v>68</v>
      </c>
      <c r="Q69" t="s">
        <v>69</v>
      </c>
      <c r="R69" t="s">
        <v>70</v>
      </c>
      <c r="S69" t="s">
        <v>66</v>
      </c>
      <c r="T69" t="s">
        <v>67</v>
      </c>
      <c r="U69" t="s">
        <v>68</v>
      </c>
      <c r="V69" t="s">
        <v>69</v>
      </c>
      <c r="W69" t="s">
        <v>70</v>
      </c>
    </row>
    <row r="70" spans="1:23" x14ac:dyDescent="0.2">
      <c r="N70" s="5">
        <f>N91/N29</f>
        <v>521.3724540885662</v>
      </c>
      <c r="O70" s="6">
        <f t="shared" ref="O70:W70" si="1">O91/O29</f>
        <v>7906.4923442200115</v>
      </c>
      <c r="P70" s="6">
        <f t="shared" si="1"/>
        <v>9747.1618596228018</v>
      </c>
      <c r="Q70" s="6">
        <f t="shared" si="1"/>
        <v>1189.8076371483946</v>
      </c>
      <c r="R70" s="7">
        <f t="shared" si="1"/>
        <v>1009.1307015718027</v>
      </c>
      <c r="S70" s="5">
        <f t="shared" si="1"/>
        <v>523.36969562534796</v>
      </c>
      <c r="T70" s="6">
        <f t="shared" si="1"/>
        <v>7935.6413499136688</v>
      </c>
      <c r="U70" s="6">
        <f t="shared" si="1"/>
        <v>5999.9999435417276</v>
      </c>
      <c r="V70" s="6">
        <f t="shared" si="1"/>
        <v>459.05446217999094</v>
      </c>
      <c r="W70" s="7">
        <f t="shared" si="1"/>
        <v>1039.1841201592547</v>
      </c>
    </row>
    <row r="71" spans="1:23" x14ac:dyDescent="0.2">
      <c r="N71" s="8">
        <f t="shared" ref="N71:W74" si="2">N92/N30</f>
        <v>159.09090909090909</v>
      </c>
      <c r="O71">
        <f t="shared" si="2"/>
        <v>8260.3209744413034</v>
      </c>
      <c r="P71">
        <f t="shared" si="2"/>
        <v>8648.86283773578</v>
      </c>
      <c r="Q71">
        <f t="shared" si="2"/>
        <v>1426.0736332377542</v>
      </c>
      <c r="R71" s="9">
        <f t="shared" si="2"/>
        <v>1066.3483991747942</v>
      </c>
      <c r="S71" s="8">
        <f t="shared" si="2"/>
        <v>287.16949064833386</v>
      </c>
      <c r="T71">
        <f t="shared" si="2"/>
        <v>7775.8911937703733</v>
      </c>
      <c r="U71">
        <f t="shared" si="2"/>
        <v>5924.3567099902275</v>
      </c>
      <c r="V71">
        <f t="shared" si="2"/>
        <v>705.78068657584311</v>
      </c>
      <c r="W71" s="9">
        <f t="shared" si="2"/>
        <v>1098.8589503991061</v>
      </c>
    </row>
    <row r="72" spans="1:23" x14ac:dyDescent="0.2">
      <c r="N72" s="8">
        <f t="shared" si="2"/>
        <v>486.56714986584632</v>
      </c>
      <c r="O72">
        <f t="shared" si="2"/>
        <v>8298.8925215622257</v>
      </c>
      <c r="P72">
        <f t="shared" si="2"/>
        <v>9178.0518037295824</v>
      </c>
      <c r="Q72">
        <f t="shared" si="2"/>
        <v>1110.9940844816397</v>
      </c>
      <c r="R72" s="9">
        <f t="shared" si="2"/>
        <v>701.77501251386457</v>
      </c>
      <c r="S72" s="8">
        <f t="shared" si="2"/>
        <v>499.99997985854912</v>
      </c>
      <c r="T72">
        <f t="shared" si="2"/>
        <v>7842.0948591082797</v>
      </c>
      <c r="U72">
        <f t="shared" si="2"/>
        <v>5820.2402934373804</v>
      </c>
      <c r="V72">
        <f t="shared" si="2"/>
        <v>706.25240087083546</v>
      </c>
      <c r="W72" s="9">
        <f t="shared" si="2"/>
        <v>979.76678344343713</v>
      </c>
    </row>
    <row r="73" spans="1:23" x14ac:dyDescent="0.2">
      <c r="N73" s="8">
        <f t="shared" si="2"/>
        <v>564.01580791441449</v>
      </c>
      <c r="O73">
        <f t="shared" si="2"/>
        <v>7892.0487565446574</v>
      </c>
      <c r="P73">
        <f t="shared" si="2"/>
        <v>8685.1170652183318</v>
      </c>
      <c r="Q73">
        <f t="shared" si="2"/>
        <v>2467.8535602365341</v>
      </c>
      <c r="R73" s="9">
        <f t="shared" si="2"/>
        <v>919.92984711672432</v>
      </c>
      <c r="S73" s="8">
        <f t="shared" si="2"/>
        <v>557.36328703824756</v>
      </c>
      <c r="T73">
        <f t="shared" si="2"/>
        <v>7931.3361950135786</v>
      </c>
      <c r="U73">
        <f t="shared" si="2"/>
        <v>6366.8186909545184</v>
      </c>
      <c r="V73">
        <f t="shared" si="2"/>
        <v>718.56918457293443</v>
      </c>
      <c r="W73" s="9">
        <f t="shared" si="2"/>
        <v>833.63803479912519</v>
      </c>
    </row>
    <row r="74" spans="1:23" ht="16" thickBot="1" x14ac:dyDescent="0.25">
      <c r="A74" t="s">
        <v>58</v>
      </c>
      <c r="N74" s="10">
        <f t="shared" si="2"/>
        <v>426.32172259169647</v>
      </c>
      <c r="O74" s="11">
        <f t="shared" si="2"/>
        <v>8175.2703139543792</v>
      </c>
      <c r="P74" s="11">
        <f t="shared" si="2"/>
        <v>9594.3875858751853</v>
      </c>
      <c r="Q74" s="11">
        <f t="shared" si="2"/>
        <v>1424.7249217110489</v>
      </c>
      <c r="R74" s="12">
        <f t="shared" si="2"/>
        <v>1139.6734338423996</v>
      </c>
      <c r="S74" s="10">
        <f t="shared" si="2"/>
        <v>362.45573568255145</v>
      </c>
      <c r="T74" s="11">
        <f t="shared" si="2"/>
        <v>7849.9766568686218</v>
      </c>
      <c r="U74" s="11">
        <f t="shared" si="2"/>
        <v>5930.1802725272291</v>
      </c>
      <c r="V74" s="11">
        <f t="shared" si="2"/>
        <v>585.32836694593414</v>
      </c>
      <c r="W74" s="12">
        <f t="shared" si="2"/>
        <v>1047.6604115682844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3">AVERAGE(N70:N74)</f>
        <v>431.4736087102865</v>
      </c>
      <c r="O76">
        <f t="shared" si="3"/>
        <v>8106.6049821445149</v>
      </c>
      <c r="P76">
        <f t="shared" si="3"/>
        <v>9170.7162304363355</v>
      </c>
      <c r="Q76">
        <f t="shared" si="3"/>
        <v>1523.8907673630742</v>
      </c>
      <c r="R76">
        <f t="shared" si="3"/>
        <v>967.37147884391709</v>
      </c>
      <c r="S76">
        <f t="shared" si="3"/>
        <v>446.07163777060595</v>
      </c>
      <c r="T76">
        <f t="shared" si="3"/>
        <v>7866.988050934905</v>
      </c>
      <c r="U76">
        <f t="shared" si="3"/>
        <v>6008.3191820902166</v>
      </c>
      <c r="V76">
        <f t="shared" si="3"/>
        <v>634.99702022910765</v>
      </c>
      <c r="W76">
        <f t="shared" si="3"/>
        <v>999.82166007384149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N78">
        <f>N76/974</f>
        <v>0.44299138471281979</v>
      </c>
      <c r="O78">
        <f>O76/10336</f>
        <v>0.78430775756042137</v>
      </c>
      <c r="P78">
        <f>P76/16798</f>
        <v>0.54594095906871865</v>
      </c>
      <c r="Q78">
        <f>Q76/40900</f>
        <v>3.7258942967312331E-2</v>
      </c>
      <c r="R78">
        <f>R76/1809</f>
        <v>0.5347548252315738</v>
      </c>
      <c r="S78">
        <f>S76/895</f>
        <v>0.49840406454816305</v>
      </c>
      <c r="T78">
        <f>T76/10832</f>
        <v>0.72627289982781618</v>
      </c>
      <c r="U78">
        <f>U76/17626</f>
        <v>0.34087820163906823</v>
      </c>
      <c r="V78">
        <f>V76/52231</f>
        <v>1.2157473918345573E-2</v>
      </c>
      <c r="W78">
        <f>W76/1938</f>
        <v>0.51590384936730727</v>
      </c>
    </row>
    <row r="79" spans="1:23" x14ac:dyDescent="0.2">
      <c r="A79" t="s">
        <v>48</v>
      </c>
      <c r="E79">
        <v>20</v>
      </c>
      <c r="F79" t="s">
        <v>25</v>
      </c>
    </row>
    <row r="80" spans="1:23" x14ac:dyDescent="0.2">
      <c r="A80" t="s">
        <v>49</v>
      </c>
      <c r="E80">
        <v>80</v>
      </c>
      <c r="F80" t="s">
        <v>50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</row>
    <row r="84" spans="1:23" x14ac:dyDescent="0.2">
      <c r="A84" t="s">
        <v>28</v>
      </c>
      <c r="E84">
        <v>0</v>
      </c>
      <c r="F84" t="s">
        <v>29</v>
      </c>
    </row>
    <row r="85" spans="1:23" x14ac:dyDescent="0.2">
      <c r="A85" t="s">
        <v>54</v>
      </c>
      <c r="E85">
        <v>20000</v>
      </c>
      <c r="F85" t="s">
        <v>55</v>
      </c>
    </row>
    <row r="86" spans="1:23" x14ac:dyDescent="0.2">
      <c r="A86" t="s">
        <v>30</v>
      </c>
      <c r="E86" t="s">
        <v>31</v>
      </c>
    </row>
    <row r="87" spans="1:23" x14ac:dyDescent="0.2">
      <c r="A87" t="s">
        <v>32</v>
      </c>
      <c r="B87" s="2" t="s">
        <v>59</v>
      </c>
    </row>
    <row r="89" spans="1:23" x14ac:dyDescent="0.2">
      <c r="B89" t="s">
        <v>34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1757</v>
      </c>
      <c r="C91">
        <v>9178</v>
      </c>
      <c r="D91">
        <v>10658</v>
      </c>
      <c r="E91">
        <v>2357</v>
      </c>
      <c r="F91">
        <v>2274</v>
      </c>
      <c r="G91">
        <v>1774</v>
      </c>
      <c r="H91">
        <v>9351</v>
      </c>
      <c r="I91">
        <v>7294</v>
      </c>
      <c r="J91">
        <v>1648</v>
      </c>
      <c r="K91">
        <v>2181</v>
      </c>
      <c r="L91">
        <v>1223</v>
      </c>
      <c r="N91">
        <f t="shared" ref="N91:W95" si="4">B91-1213</f>
        <v>544</v>
      </c>
      <c r="O91">
        <f t="shared" si="4"/>
        <v>7965</v>
      </c>
      <c r="P91">
        <f t="shared" si="4"/>
        <v>9445</v>
      </c>
      <c r="Q91">
        <f t="shared" si="4"/>
        <v>1144</v>
      </c>
      <c r="R91">
        <f t="shared" si="4"/>
        <v>1061</v>
      </c>
      <c r="S91">
        <f t="shared" si="4"/>
        <v>561</v>
      </c>
      <c r="T91">
        <f t="shared" si="4"/>
        <v>8138</v>
      </c>
      <c r="U91">
        <f t="shared" si="4"/>
        <v>6081</v>
      </c>
      <c r="V91">
        <f t="shared" si="4"/>
        <v>435</v>
      </c>
      <c r="W91">
        <f t="shared" si="4"/>
        <v>968</v>
      </c>
    </row>
    <row r="92" spans="1:23" x14ac:dyDescent="0.2">
      <c r="A92" s="4" t="s">
        <v>37</v>
      </c>
      <c r="B92">
        <v>1346</v>
      </c>
      <c r="C92">
        <v>8416</v>
      </c>
      <c r="D92">
        <v>9925</v>
      </c>
      <c r="E92">
        <v>2518</v>
      </c>
      <c r="F92">
        <v>2330</v>
      </c>
      <c r="G92">
        <v>1478</v>
      </c>
      <c r="H92">
        <v>7625</v>
      </c>
      <c r="I92">
        <v>7087</v>
      </c>
      <c r="J92">
        <v>1948</v>
      </c>
      <c r="K92">
        <v>2359</v>
      </c>
      <c r="L92">
        <v>1214</v>
      </c>
      <c r="N92">
        <f t="shared" si="4"/>
        <v>133</v>
      </c>
      <c r="O92">
        <f t="shared" si="4"/>
        <v>7203</v>
      </c>
      <c r="P92">
        <f t="shared" si="4"/>
        <v>8712</v>
      </c>
      <c r="Q92">
        <f t="shared" si="4"/>
        <v>1305</v>
      </c>
      <c r="R92">
        <f t="shared" si="4"/>
        <v>1117</v>
      </c>
      <c r="S92">
        <f t="shared" si="4"/>
        <v>265</v>
      </c>
      <c r="T92">
        <f t="shared" si="4"/>
        <v>6412</v>
      </c>
      <c r="U92">
        <f t="shared" si="4"/>
        <v>5874</v>
      </c>
      <c r="V92">
        <f t="shared" si="4"/>
        <v>735</v>
      </c>
      <c r="W92">
        <f t="shared" si="4"/>
        <v>1146</v>
      </c>
    </row>
    <row r="93" spans="1:23" x14ac:dyDescent="0.2">
      <c r="A93" s="4" t="s">
        <v>38</v>
      </c>
      <c r="B93">
        <v>1702</v>
      </c>
      <c r="C93">
        <v>8482</v>
      </c>
      <c r="D93">
        <v>9543</v>
      </c>
      <c r="E93">
        <v>2268</v>
      </c>
      <c r="F93">
        <v>1810</v>
      </c>
      <c r="G93">
        <v>1722</v>
      </c>
      <c r="H93">
        <v>9030</v>
      </c>
      <c r="I93">
        <v>7177</v>
      </c>
      <c r="J93">
        <v>1954</v>
      </c>
      <c r="K93">
        <v>2196</v>
      </c>
      <c r="L93">
        <v>1202</v>
      </c>
      <c r="N93">
        <f t="shared" si="4"/>
        <v>489</v>
      </c>
      <c r="O93">
        <f t="shared" si="4"/>
        <v>7269</v>
      </c>
      <c r="P93">
        <f t="shared" si="4"/>
        <v>8330</v>
      </c>
      <c r="Q93">
        <f t="shared" si="4"/>
        <v>1055</v>
      </c>
      <c r="R93">
        <f t="shared" si="4"/>
        <v>597</v>
      </c>
      <c r="S93">
        <f t="shared" si="4"/>
        <v>509</v>
      </c>
      <c r="T93">
        <f t="shared" si="4"/>
        <v>7817</v>
      </c>
      <c r="U93">
        <f t="shared" si="4"/>
        <v>5964</v>
      </c>
      <c r="V93">
        <f t="shared" si="4"/>
        <v>741</v>
      </c>
      <c r="W93">
        <f t="shared" si="4"/>
        <v>983</v>
      </c>
    </row>
    <row r="94" spans="1:23" x14ac:dyDescent="0.2">
      <c r="A94" s="4" t="s">
        <v>39</v>
      </c>
      <c r="B94">
        <v>1713</v>
      </c>
      <c r="C94">
        <v>8012</v>
      </c>
      <c r="D94">
        <v>9027</v>
      </c>
      <c r="E94">
        <v>3209</v>
      </c>
      <c r="F94">
        <v>2000</v>
      </c>
      <c r="G94">
        <v>1744</v>
      </c>
      <c r="H94">
        <v>8467</v>
      </c>
      <c r="I94">
        <v>7215</v>
      </c>
      <c r="J94">
        <v>1896</v>
      </c>
      <c r="K94">
        <v>1897</v>
      </c>
      <c r="L94">
        <v>196</v>
      </c>
      <c r="N94">
        <f t="shared" si="4"/>
        <v>500</v>
      </c>
      <c r="O94">
        <f t="shared" si="4"/>
        <v>6799</v>
      </c>
      <c r="P94">
        <f t="shared" si="4"/>
        <v>7814</v>
      </c>
      <c r="Q94">
        <f t="shared" si="4"/>
        <v>1996</v>
      </c>
      <c r="R94">
        <f t="shared" si="4"/>
        <v>787</v>
      </c>
      <c r="S94">
        <f t="shared" si="4"/>
        <v>531</v>
      </c>
      <c r="T94">
        <f t="shared" si="4"/>
        <v>7254</v>
      </c>
      <c r="U94">
        <f t="shared" si="4"/>
        <v>6002</v>
      </c>
      <c r="V94">
        <f t="shared" si="4"/>
        <v>683</v>
      </c>
      <c r="W94">
        <f t="shared" si="4"/>
        <v>684</v>
      </c>
    </row>
    <row r="95" spans="1:23" x14ac:dyDescent="0.2">
      <c r="A95" s="4" t="s">
        <v>40</v>
      </c>
      <c r="B95">
        <v>1592</v>
      </c>
      <c r="C95">
        <v>8023</v>
      </c>
      <c r="D95">
        <v>8735</v>
      </c>
      <c r="E95">
        <v>2430</v>
      </c>
      <c r="F95">
        <v>2246</v>
      </c>
      <c r="G95">
        <v>1520</v>
      </c>
      <c r="H95">
        <v>7942</v>
      </c>
      <c r="I95">
        <v>6479</v>
      </c>
      <c r="J95">
        <v>1746</v>
      </c>
      <c r="K95">
        <v>2178</v>
      </c>
      <c r="L95">
        <v>191</v>
      </c>
      <c r="N95">
        <f t="shared" si="4"/>
        <v>379</v>
      </c>
      <c r="O95">
        <f t="shared" si="4"/>
        <v>6810</v>
      </c>
      <c r="P95">
        <f t="shared" si="4"/>
        <v>7522</v>
      </c>
      <c r="Q95">
        <f t="shared" si="4"/>
        <v>1217</v>
      </c>
      <c r="R95">
        <f t="shared" si="4"/>
        <v>1033</v>
      </c>
      <c r="S95">
        <f t="shared" si="4"/>
        <v>307</v>
      </c>
      <c r="T95">
        <f t="shared" si="4"/>
        <v>6729</v>
      </c>
      <c r="U95">
        <f t="shared" si="4"/>
        <v>5266</v>
      </c>
      <c r="V95">
        <f t="shared" si="4"/>
        <v>533</v>
      </c>
      <c r="W95">
        <f t="shared" si="4"/>
        <v>965</v>
      </c>
    </row>
    <row r="97" spans="1:12" x14ac:dyDescent="0.2">
      <c r="L97">
        <f>AVERAGE(L91:L93)</f>
        <v>1213</v>
      </c>
    </row>
    <row r="100" spans="1:12" x14ac:dyDescent="0.2">
      <c r="A100" t="s">
        <v>41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62</v>
      </c>
    </row>
    <row r="120" spans="1:12" x14ac:dyDescent="0.2">
      <c r="B120" t="s">
        <v>34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8468</v>
      </c>
      <c r="C122">
        <v>43892</v>
      </c>
      <c r="D122">
        <v>50599</v>
      </c>
      <c r="E122">
        <v>11442</v>
      </c>
      <c r="F122">
        <v>10958</v>
      </c>
      <c r="G122">
        <v>8551</v>
      </c>
      <c r="H122">
        <v>44641</v>
      </c>
      <c r="I122">
        <v>34825</v>
      </c>
      <c r="J122">
        <v>7988</v>
      </c>
      <c r="K122">
        <v>10529</v>
      </c>
      <c r="L122">
        <v>5885</v>
      </c>
    </row>
    <row r="123" spans="1:12" x14ac:dyDescent="0.2">
      <c r="A123" s="4" t="s">
        <v>37</v>
      </c>
      <c r="B123">
        <v>6509</v>
      </c>
      <c r="C123">
        <v>40114</v>
      </c>
      <c r="D123">
        <v>47220</v>
      </c>
      <c r="E123">
        <v>12153</v>
      </c>
      <c r="F123">
        <v>11126</v>
      </c>
      <c r="G123">
        <v>7111</v>
      </c>
      <c r="H123">
        <v>36417</v>
      </c>
      <c r="I123">
        <v>33960</v>
      </c>
      <c r="J123">
        <v>9376</v>
      </c>
      <c r="K123">
        <v>11319</v>
      </c>
      <c r="L123">
        <v>5880</v>
      </c>
    </row>
    <row r="124" spans="1:12" x14ac:dyDescent="0.2">
      <c r="A124" s="4" t="s">
        <v>38</v>
      </c>
      <c r="B124">
        <v>8176</v>
      </c>
      <c r="C124">
        <v>40598</v>
      </c>
      <c r="D124">
        <v>45442</v>
      </c>
      <c r="E124">
        <v>10926</v>
      </c>
      <c r="F124">
        <v>8714</v>
      </c>
      <c r="G124">
        <v>8348</v>
      </c>
      <c r="H124">
        <v>42999</v>
      </c>
      <c r="I124">
        <v>34393</v>
      </c>
      <c r="J124">
        <v>9406</v>
      </c>
      <c r="K124">
        <v>10564</v>
      </c>
      <c r="L124">
        <v>5772</v>
      </c>
    </row>
    <row r="125" spans="1:12" x14ac:dyDescent="0.2">
      <c r="A125" s="4" t="s">
        <v>39</v>
      </c>
      <c r="B125">
        <v>8287</v>
      </c>
      <c r="C125">
        <v>38479</v>
      </c>
      <c r="D125">
        <v>43198</v>
      </c>
      <c r="E125">
        <v>15492</v>
      </c>
      <c r="F125">
        <v>9626</v>
      </c>
      <c r="G125">
        <v>8405</v>
      </c>
      <c r="H125">
        <v>40545</v>
      </c>
      <c r="I125">
        <v>34520</v>
      </c>
      <c r="J125">
        <v>9156</v>
      </c>
      <c r="K125">
        <v>9160</v>
      </c>
      <c r="L125">
        <v>926</v>
      </c>
    </row>
    <row r="126" spans="1:12" x14ac:dyDescent="0.2">
      <c r="A126" s="4" t="s">
        <v>40</v>
      </c>
      <c r="B126">
        <v>7655</v>
      </c>
      <c r="C126">
        <v>38282</v>
      </c>
      <c r="D126">
        <v>41812</v>
      </c>
      <c r="E126">
        <v>11747</v>
      </c>
      <c r="F126">
        <v>10837</v>
      </c>
      <c r="G126">
        <v>7310</v>
      </c>
      <c r="H126">
        <v>37953</v>
      </c>
      <c r="I126">
        <v>31002</v>
      </c>
      <c r="J126">
        <v>8372</v>
      </c>
      <c r="K126">
        <v>10436</v>
      </c>
      <c r="L126">
        <v>928</v>
      </c>
    </row>
    <row r="131" spans="1:2" x14ac:dyDescent="0.2">
      <c r="A131" t="s">
        <v>41</v>
      </c>
      <c r="B131" s="2" t="s">
        <v>63</v>
      </c>
    </row>
  </sheetData>
  <mergeCells count="2">
    <mergeCell ref="N68:R68"/>
    <mergeCell ref="S68:W68"/>
  </mergeCells>
  <conditionalFormatting sqref="N76:Q76">
    <cfRule type="colorScale" priority="5">
      <colorScale>
        <cfvo type="min"/>
        <cfvo type="max"/>
        <color rgb="FFFCFCFF"/>
        <color rgb="FF63BE7B"/>
      </colorScale>
    </cfRule>
  </conditionalFormatting>
  <conditionalFormatting sqref="N70:R74">
    <cfRule type="colorScale" priority="7">
      <colorScale>
        <cfvo type="min"/>
        <cfvo type="max"/>
        <color rgb="FFFCFCFF"/>
        <color rgb="FF63BE7B"/>
      </colorScale>
    </cfRule>
  </conditionalFormatting>
  <conditionalFormatting sqref="R76">
    <cfRule type="colorScale" priority="3">
      <colorScale>
        <cfvo type="min"/>
        <cfvo type="max"/>
        <color rgb="FFFCFCFF"/>
        <color rgb="FF63BE7B"/>
      </colorScale>
    </cfRule>
  </conditionalFormatting>
  <conditionalFormatting sqref="S76">
    <cfRule type="colorScale" priority="4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6">
      <colorScale>
        <cfvo type="min"/>
        <cfvo type="max"/>
        <color rgb="FFFCFCFF"/>
        <color rgb="FF63BE7B"/>
      </colorScale>
    </cfRule>
  </conditionalFormatting>
  <conditionalFormatting sqref="T76:V76">
    <cfRule type="colorScale" priority="1">
      <colorScale>
        <cfvo type="min"/>
        <cfvo type="max"/>
        <color rgb="FFFCFCFF"/>
        <color rgb="FF63BE7B"/>
      </colorScale>
    </cfRule>
  </conditionalFormatting>
  <conditionalFormatting sqref="W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2025-09-14T20:33:30Z</dcterms:created>
  <dcterms:modified xsi:type="dcterms:W3CDTF">2025-10-25T01:14:58Z</dcterms:modified>
</cp:coreProperties>
</file>