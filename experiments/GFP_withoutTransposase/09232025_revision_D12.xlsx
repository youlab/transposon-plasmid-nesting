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ychha/Desktop/Systems Biology/Mine/Plasmid-Transposon/Exp/tetA/Revision/"/>
    </mc:Choice>
  </mc:AlternateContent>
  <xr:revisionPtr revIDLastSave="0" documentId="13_ncr:1_{7B205F85-D68B-5440-B5D7-B6B7B389CDD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5" i="5" l="1"/>
  <c r="V95" i="5"/>
  <c r="U95" i="5"/>
  <c r="T95" i="5"/>
  <c r="S95" i="5"/>
  <c r="R95" i="5"/>
  <c r="Q95" i="5"/>
  <c r="P95" i="5"/>
  <c r="O95" i="5"/>
  <c r="W94" i="5"/>
  <c r="V94" i="5"/>
  <c r="U94" i="5"/>
  <c r="U73" i="5" s="1"/>
  <c r="T94" i="5"/>
  <c r="T73" i="5" s="1"/>
  <c r="S94" i="5"/>
  <c r="S73" i="5" s="1"/>
  <c r="R94" i="5"/>
  <c r="R73" i="5" s="1"/>
  <c r="Q94" i="5"/>
  <c r="Q73" i="5" s="1"/>
  <c r="P94" i="5"/>
  <c r="O94" i="5"/>
  <c r="W93" i="5"/>
  <c r="V93" i="5"/>
  <c r="U93" i="5"/>
  <c r="T93" i="5"/>
  <c r="S93" i="5"/>
  <c r="R93" i="5"/>
  <c r="Q93" i="5"/>
  <c r="P93" i="5"/>
  <c r="O93" i="5"/>
  <c r="O72" i="5" s="1"/>
  <c r="W92" i="5"/>
  <c r="W71" i="5" s="1"/>
  <c r="V92" i="5"/>
  <c r="V71" i="5" s="1"/>
  <c r="U92" i="5"/>
  <c r="U71" i="5" s="1"/>
  <c r="T92" i="5"/>
  <c r="T71" i="5" s="1"/>
  <c r="S92" i="5"/>
  <c r="S71" i="5" s="1"/>
  <c r="R92" i="5"/>
  <c r="Q92" i="5"/>
  <c r="P92" i="5"/>
  <c r="O92" i="5"/>
  <c r="W91" i="5"/>
  <c r="V91" i="5"/>
  <c r="U91" i="5"/>
  <c r="T91" i="5"/>
  <c r="S91" i="5"/>
  <c r="S70" i="5" s="1"/>
  <c r="R91" i="5"/>
  <c r="R70" i="5" s="1"/>
  <c r="Q91" i="5"/>
  <c r="Q70" i="5" s="1"/>
  <c r="P91" i="5"/>
  <c r="P70" i="5" s="1"/>
  <c r="P76" i="5" s="1"/>
  <c r="O91" i="5"/>
  <c r="O70" i="5" s="1"/>
  <c r="O76" i="5" s="1"/>
  <c r="N95" i="5"/>
  <c r="N94" i="5"/>
  <c r="N93" i="5"/>
  <c r="N92" i="5"/>
  <c r="N91" i="5"/>
  <c r="W74" i="5"/>
  <c r="V74" i="5"/>
  <c r="U74" i="5"/>
  <c r="T74" i="5"/>
  <c r="S74" i="5"/>
  <c r="R74" i="5"/>
  <c r="Q74" i="5"/>
  <c r="P74" i="5"/>
  <c r="O74" i="5"/>
  <c r="N74" i="5"/>
  <c r="W73" i="5"/>
  <c r="V73" i="5"/>
  <c r="P73" i="5"/>
  <c r="O73" i="5"/>
  <c r="N73" i="5"/>
  <c r="W72" i="5"/>
  <c r="V72" i="5"/>
  <c r="U72" i="5"/>
  <c r="T72" i="5"/>
  <c r="S72" i="5"/>
  <c r="R72" i="5"/>
  <c r="Q72" i="5"/>
  <c r="P72" i="5"/>
  <c r="N72" i="5"/>
  <c r="R71" i="5"/>
  <c r="Q71" i="5"/>
  <c r="P71" i="5"/>
  <c r="O71" i="5"/>
  <c r="N71" i="5"/>
  <c r="W70" i="5"/>
  <c r="W76" i="5" s="1"/>
  <c r="W87" i="5" s="1"/>
  <c r="V70" i="5"/>
  <c r="U70" i="5"/>
  <c r="T70" i="5"/>
  <c r="N70" i="5"/>
  <c r="L97" i="5"/>
  <c r="W33" i="5"/>
  <c r="V33" i="5"/>
  <c r="U33" i="5"/>
  <c r="T33" i="5"/>
  <c r="S33" i="5"/>
  <c r="R33" i="5"/>
  <c r="Q33" i="5"/>
  <c r="P33" i="5"/>
  <c r="O33" i="5"/>
  <c r="W32" i="5"/>
  <c r="V32" i="5"/>
  <c r="U32" i="5"/>
  <c r="T32" i="5"/>
  <c r="S32" i="5"/>
  <c r="R32" i="5"/>
  <c r="Q32" i="5"/>
  <c r="P32" i="5"/>
  <c r="O32" i="5"/>
  <c r="W31" i="5"/>
  <c r="V31" i="5"/>
  <c r="U31" i="5"/>
  <c r="T31" i="5"/>
  <c r="S31" i="5"/>
  <c r="R31" i="5"/>
  <c r="Q31" i="5"/>
  <c r="P31" i="5"/>
  <c r="O31" i="5"/>
  <c r="W30" i="5"/>
  <c r="V30" i="5"/>
  <c r="U30" i="5"/>
  <c r="T30" i="5"/>
  <c r="S30" i="5"/>
  <c r="R30" i="5"/>
  <c r="Q30" i="5"/>
  <c r="P30" i="5"/>
  <c r="O30" i="5"/>
  <c r="W29" i="5"/>
  <c r="V29" i="5"/>
  <c r="U29" i="5"/>
  <c r="T29" i="5"/>
  <c r="S29" i="5"/>
  <c r="R29" i="5"/>
  <c r="Q29" i="5"/>
  <c r="P29" i="5"/>
  <c r="O29" i="5"/>
  <c r="N33" i="5"/>
  <c r="N32" i="5"/>
  <c r="N31" i="5"/>
  <c r="N30" i="5"/>
  <c r="N29" i="5"/>
  <c r="L35" i="5"/>
  <c r="R76" i="5" l="1"/>
  <c r="Q76" i="5"/>
  <c r="S76" i="5"/>
  <c r="V76" i="5"/>
  <c r="V78" i="5" s="1"/>
  <c r="T76" i="5"/>
  <c r="U76" i="5"/>
  <c r="U87" i="5" s="1"/>
  <c r="N76" i="5"/>
  <c r="R87" i="5"/>
  <c r="R84" i="5"/>
  <c r="R78" i="5"/>
  <c r="S87" i="5"/>
  <c r="S84" i="5"/>
  <c r="S78" i="5"/>
  <c r="T87" i="5"/>
  <c r="T84" i="5"/>
  <c r="T78" i="5"/>
  <c r="N87" i="5"/>
  <c r="N84" i="5"/>
  <c r="N78" i="5"/>
  <c r="O84" i="5"/>
  <c r="O87" i="5"/>
  <c r="O78" i="5"/>
  <c r="P87" i="5"/>
  <c r="P84" i="5"/>
  <c r="P78" i="5"/>
  <c r="Q84" i="5"/>
  <c r="Q87" i="5"/>
  <c r="Q78" i="5"/>
  <c r="W78" i="5"/>
  <c r="W84" i="5"/>
  <c r="U78" i="5" l="1"/>
  <c r="V84" i="5"/>
  <c r="U84" i="5"/>
  <c r="V8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<sst xmlns="http://schemas.openxmlformats.org/spreadsheetml/2006/main" count="173" uniqueCount="80">
  <si>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</si>
  <si>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</si>
  <si>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</si>
  <si>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</si>
  <si>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</si>
  <si>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</si>
  <si>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</si>
  <si>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</si>
  <si>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</si>
  <si>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</si>
  <si>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</si>
  <si>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</si>
  <si>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</si>
  <si>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</si>
  <si>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</si>
  <si>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</si>
  <si>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</si>
  <si>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</si>
  <si>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</si>
  <si>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</si>
  <si>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</si>
  <si>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</si>
  <si>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</si>
  <si>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</si>
  <si>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</si>
  <si>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Start Time:</t>
  </si>
  <si>
    <t>Temperature: 26.5 °C</t>
  </si>
  <si>
    <t>&lt;&gt;</t>
  </si>
  <si>
    <t>B</t>
  </si>
  <si>
    <t>C</t>
  </si>
  <si>
    <t>End Time: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</si>
  <si>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</si>
  <si>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</si>
  <si>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</si>
  <si>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</si>
  <si>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</si>
  <si>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</si>
  <si>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</si>
  <si>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</si>
  <si>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</si>
  <si>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</si>
  <si>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</si>
  <si>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</si>
  <si>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Temperature: 26.6 °C</t>
  </si>
  <si>
    <t>4:25:12 PM</t>
  </si>
  <si>
    <t>Shaking (Orbital) Duration:</t>
  </si>
  <si>
    <t>s</t>
  </si>
  <si>
    <t>Shaking (Orbital) Amplitude:</t>
  </si>
  <si>
    <t>mm</t>
  </si>
  <si>
    <t>Label: od600</t>
  </si>
  <si>
    <t>B2-F12</t>
  </si>
  <si>
    <t>9/23/2025 4:25:17 PM</t>
  </si>
  <si>
    <t>D</t>
  </si>
  <si>
    <t>E</t>
  </si>
  <si>
    <t>F</t>
  </si>
  <si>
    <t>9/23/2025 4:25:42 PM</t>
  </si>
  <si>
    <t>Label: gfp50</t>
  </si>
  <si>
    <t>9/23/2025 4:25:47 PM</t>
  </si>
  <si>
    <t>9/23/2025 4:26:35 PM</t>
  </si>
  <si>
    <t>Label: gfp 80</t>
  </si>
  <si>
    <t>9/23/2025 4:26:42 PM</t>
  </si>
  <si>
    <t>9/23/2025 4:27:31 PM</t>
  </si>
  <si>
    <t>Label: gfp100</t>
  </si>
  <si>
    <t>9/23/2025 4:27:38 PM</t>
  </si>
  <si>
    <t>OVER</t>
  </si>
  <si>
    <t>9/23/2025 4:28:26 PM</t>
  </si>
  <si>
    <t>T-TE+</t>
  </si>
  <si>
    <t>T+TE+</t>
  </si>
  <si>
    <t>Kan+</t>
  </si>
  <si>
    <t>Kan-</t>
  </si>
  <si>
    <t>p15A</t>
  </si>
  <si>
    <t>pBR</t>
  </si>
  <si>
    <t>CloDF</t>
  </si>
  <si>
    <t>pUC</t>
  </si>
  <si>
    <t>p15A,++</t>
  </si>
  <si>
    <t>D11/D1</t>
  </si>
  <si>
    <t>D5</t>
  </si>
  <si>
    <t>D11/D5</t>
  </si>
  <si>
    <t>D7</t>
  </si>
  <si>
    <t>D11/D7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</si>
</sst>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  <xf numFmtId="0" fontId="0" fillId="6" borderId="0" xfId="0" applyFill="1"/>
    <xf numFmtId="0" fontId="1" fillId="2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A62" workbookViewId="0">
      <selection activeCell="N89" sqref="N89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45923</v>
      </c>
    </row>
    <row r="6" spans="1:12" x14ac:dyDescent="0.2">
      <c r="A6" t="s">
        <v>8</v>
      </c>
      <c r="B6" s="2" t="s">
        <v>44</v>
      </c>
    </row>
    <row r="9" spans="1:12" x14ac:dyDescent="0.2">
      <c r="A9" t="s">
        <v>9</v>
      </c>
      <c r="E9" t="s">
        <v>10</v>
      </c>
    </row>
    <row r="10" spans="1:12" x14ac:dyDescent="0.2">
      <c r="A10" t="s">
        <v>11</v>
      </c>
      <c r="E10" t="s">
        <v>12</v>
      </c>
    </row>
    <row r="11" spans="1:12" x14ac:dyDescent="0.2">
      <c r="A11" t="s">
        <v>13</v>
      </c>
      <c r="E11" t="s">
        <v>14</v>
      </c>
    </row>
    <row r="12" spans="1:12" x14ac:dyDescent="0.2">
      <c r="A12" t="s">
        <v>15</v>
      </c>
    </row>
    <row r="14" spans="1:12" x14ac:dyDescent="0.2">
      <c r="A14" s="4" t="s">
        <v>45</v>
      </c>
      <c r="B14" s="4"/>
      <c r="C14" s="4"/>
      <c r="D14" s="4"/>
      <c r="E14" s="4">
        <v>5</v>
      </c>
      <c r="F14" s="4" t="s">
        <v>46</v>
      </c>
      <c r="G14" s="4"/>
      <c r="H14" s="4"/>
      <c r="I14" s="4"/>
      <c r="J14" s="4"/>
      <c r="K14" s="4"/>
      <c r="L14" s="4"/>
    </row>
    <row r="15" spans="1:12" x14ac:dyDescent="0.2">
      <c r="A15" s="4" t="s">
        <v>47</v>
      </c>
      <c r="B15" s="4"/>
      <c r="C15" s="4"/>
      <c r="D15" s="4"/>
      <c r="E15" s="4">
        <v>2</v>
      </c>
      <c r="F15" s="4" t="s">
        <v>48</v>
      </c>
      <c r="G15" s="4"/>
      <c r="H15" s="4"/>
      <c r="I15" s="4"/>
      <c r="J15" s="4"/>
      <c r="K15" s="4"/>
      <c r="L15" s="4"/>
    </row>
    <row r="18" spans="1:23" x14ac:dyDescent="0.2">
      <c r="A18" t="s">
        <v>49</v>
      </c>
    </row>
    <row r="19" spans="1:23" x14ac:dyDescent="0.2">
      <c r="A19" t="s">
        <v>16</v>
      </c>
      <c r="E19" t="s">
        <v>17</v>
      </c>
    </row>
    <row r="20" spans="1:23" x14ac:dyDescent="0.2">
      <c r="A20" t="s">
        <v>18</v>
      </c>
      <c r="E20">
        <v>600</v>
      </c>
      <c r="F20" t="s">
        <v>19</v>
      </c>
    </row>
    <row r="21" spans="1:23" x14ac:dyDescent="0.2">
      <c r="A21" t="s">
        <v>20</v>
      </c>
      <c r="E21">
        <v>9</v>
      </c>
      <c r="F21" t="s">
        <v>19</v>
      </c>
    </row>
    <row r="22" spans="1:23" x14ac:dyDescent="0.2">
      <c r="A22" t="s">
        <v>21</v>
      </c>
      <c r="E22">
        <v>10</v>
      </c>
    </row>
    <row r="23" spans="1:23" x14ac:dyDescent="0.2">
      <c r="A23" t="s">
        <v>22</v>
      </c>
      <c r="E23">
        <v>0</v>
      </c>
      <c r="F23" t="s">
        <v>23</v>
      </c>
    </row>
    <row r="24" spans="1:23" x14ac:dyDescent="0.2">
      <c r="A24" t="s">
        <v>24</v>
      </c>
      <c r="E24" t="s">
        <v>50</v>
      </c>
    </row>
    <row r="25" spans="1:23" x14ac:dyDescent="0.2">
      <c r="A25" t="s">
        <v>25</v>
      </c>
      <c r="B25" s="2" t="s">
        <v>51</v>
      </c>
    </row>
    <row r="27" spans="1:23" x14ac:dyDescent="0.2">
      <c r="B27" t="s">
        <v>26</v>
      </c>
    </row>
    <row r="28" spans="1:23" x14ac:dyDescent="0.2">
      <c r="A28" s="3" t="s">
        <v>27</v>
      </c>
      <c r="B28" s="3">
        <v>2</v>
      </c>
      <c r="C28" s="3">
        <v>3</v>
      </c>
      <c r="D28" s="3">
        <v>4</v>
      </c>
      <c r="E28" s="3">
        <v>5</v>
      </c>
      <c r="F28" s="3">
        <v>6</v>
      </c>
      <c r="G28" s="3">
        <v>7</v>
      </c>
      <c r="H28" s="3">
        <v>8</v>
      </c>
      <c r="I28" s="3">
        <v>9</v>
      </c>
      <c r="J28" s="3">
        <v>10</v>
      </c>
      <c r="K28" s="3">
        <v>11</v>
      </c>
      <c r="L28" s="3">
        <v>12</v>
      </c>
    </row>
    <row r="29" spans="1:23" x14ac:dyDescent="0.2">
      <c r="A29" s="3" t="s">
        <v>28</v>
      </c>
      <c r="B29">
        <v>1.1437000036239624</v>
      </c>
      <c r="C29">
        <v>1.2000999450683594</v>
      </c>
      <c r="D29">
        <v>1.1234999895095825</v>
      </c>
      <c r="E29">
        <v>0.8442000150680542</v>
      </c>
      <c r="F29">
        <v>1.1374000310897827</v>
      </c>
      <c r="G29">
        <v>1.056399941444397</v>
      </c>
      <c r="H29">
        <v>1.1496000289916992</v>
      </c>
      <c r="I29">
        <v>1.1549999713897705</v>
      </c>
      <c r="J29">
        <v>1.1656999588012695</v>
      </c>
      <c r="K29">
        <v>1.0806000232696533</v>
      </c>
      <c r="L29">
        <v>3.9799999445676804E-2</v>
      </c>
      <c r="N29">
        <f>B29-0.041</f>
        <v>1.1027000036239625</v>
      </c>
      <c r="O29">
        <f t="shared" ref="O29:O33" si="0">C29-0.041</f>
        <v>1.1590999450683594</v>
      </c>
      <c r="P29">
        <f t="shared" ref="P29:P33" si="1">D29-0.041</f>
        <v>1.0824999895095826</v>
      </c>
      <c r="Q29">
        <f t="shared" ref="Q29:Q33" si="2">E29-0.041</f>
        <v>0.80320001506805416</v>
      </c>
      <c r="R29">
        <f t="shared" ref="R29:R33" si="3">F29-0.041</f>
        <v>1.0964000310897828</v>
      </c>
      <c r="S29">
        <f t="shared" ref="S29:S33" si="4">G29-0.041</f>
        <v>1.015399941444397</v>
      </c>
      <c r="T29">
        <f t="shared" ref="T29:T33" si="5">H29-0.041</f>
        <v>1.1086000289916993</v>
      </c>
      <c r="U29">
        <f t="shared" ref="U29:U33" si="6">I29-0.041</f>
        <v>1.1139999713897706</v>
      </c>
      <c r="V29">
        <f t="shared" ref="V29:V33" si="7">J29-0.041</f>
        <v>1.1246999588012696</v>
      </c>
      <c r="W29">
        <f t="shared" ref="W29:W33" si="8">K29-0.041</f>
        <v>1.0396000232696534</v>
      </c>
    </row>
    <row r="30" spans="1:23" x14ac:dyDescent="0.2">
      <c r="A30" s="3" t="s">
        <v>29</v>
      </c>
      <c r="B30">
        <v>1.1785999536514282</v>
      </c>
      <c r="C30">
        <v>0.91680002212524414</v>
      </c>
      <c r="D30">
        <v>0.98390001058578491</v>
      </c>
      <c r="E30">
        <v>1.0769000053405762</v>
      </c>
      <c r="F30">
        <v>0.98940002918243408</v>
      </c>
      <c r="G30">
        <v>1.0859999656677246</v>
      </c>
      <c r="H30">
        <v>1.1362999677658081</v>
      </c>
      <c r="I30">
        <v>0.84399998188018799</v>
      </c>
      <c r="J30">
        <v>1.0195000171661377</v>
      </c>
      <c r="K30">
        <v>1.1200000047683716</v>
      </c>
      <c r="L30">
        <v>4.1000001132488251E-2</v>
      </c>
      <c r="N30">
        <f t="shared" ref="N30:N33" si="9">B30-0.041</f>
        <v>1.1375999536514283</v>
      </c>
      <c r="O30">
        <f t="shared" si="0"/>
        <v>0.8758000221252441</v>
      </c>
      <c r="P30">
        <f t="shared" si="1"/>
        <v>0.94290001058578488</v>
      </c>
      <c r="Q30">
        <f t="shared" si="2"/>
        <v>1.0359000053405762</v>
      </c>
      <c r="R30">
        <f t="shared" si="3"/>
        <v>0.94840002918243405</v>
      </c>
      <c r="S30">
        <f t="shared" si="4"/>
        <v>1.0449999656677247</v>
      </c>
      <c r="T30">
        <f t="shared" si="5"/>
        <v>1.0952999677658082</v>
      </c>
      <c r="U30">
        <f t="shared" si="6"/>
        <v>0.80299998188018795</v>
      </c>
      <c r="V30">
        <f t="shared" si="7"/>
        <v>0.97850001716613766</v>
      </c>
      <c r="W30">
        <f t="shared" si="8"/>
        <v>1.0790000047683717</v>
      </c>
    </row>
    <row r="31" spans="1:23" x14ac:dyDescent="0.2">
      <c r="A31" s="3" t="s">
        <v>52</v>
      </c>
      <c r="B31">
        <v>1.0853999853134155</v>
      </c>
      <c r="C31">
        <v>1.1540000438690186</v>
      </c>
      <c r="D31">
        <v>1.1651999950408936</v>
      </c>
      <c r="E31">
        <v>1.0049999952316284</v>
      </c>
      <c r="F31">
        <v>1.131600022315979</v>
      </c>
      <c r="G31">
        <v>0.85329997539520264</v>
      </c>
      <c r="H31">
        <v>1.0829999446868896</v>
      </c>
      <c r="I31">
        <v>0.97860002517700195</v>
      </c>
      <c r="J31">
        <v>1.1340999603271484</v>
      </c>
      <c r="K31">
        <v>1.0298000574111938</v>
      </c>
      <c r="L31">
        <v>4.14000004529953E-2</v>
      </c>
      <c r="N31">
        <f t="shared" si="9"/>
        <v>1.0443999853134156</v>
      </c>
      <c r="O31">
        <f t="shared" si="0"/>
        <v>1.1130000438690186</v>
      </c>
      <c r="P31">
        <f t="shared" si="1"/>
        <v>1.1241999950408936</v>
      </c>
      <c r="Q31">
        <f t="shared" si="2"/>
        <v>0.96399999523162838</v>
      </c>
      <c r="R31">
        <f t="shared" si="3"/>
        <v>1.0906000223159791</v>
      </c>
      <c r="S31">
        <f t="shared" si="4"/>
        <v>0.8122999753952026</v>
      </c>
      <c r="T31">
        <f t="shared" si="5"/>
        <v>1.0419999446868897</v>
      </c>
      <c r="U31">
        <f t="shared" si="6"/>
        <v>0.93760002517700192</v>
      </c>
      <c r="V31">
        <f t="shared" si="7"/>
        <v>1.0930999603271485</v>
      </c>
      <c r="W31">
        <f t="shared" si="8"/>
        <v>0.98880005741119381</v>
      </c>
    </row>
    <row r="32" spans="1:23" x14ac:dyDescent="0.2">
      <c r="A32" s="3" t="s">
        <v>53</v>
      </c>
      <c r="B32">
        <v>1.0618000030517578</v>
      </c>
      <c r="C32">
        <v>1.1740000247955322</v>
      </c>
      <c r="D32">
        <v>1.1869000196456909</v>
      </c>
      <c r="E32">
        <v>1.0577000379562378</v>
      </c>
      <c r="F32">
        <v>0.82749998569488525</v>
      </c>
      <c r="G32">
        <v>1.0850000381469727</v>
      </c>
      <c r="H32">
        <v>0.90969997644424438</v>
      </c>
      <c r="I32">
        <v>1.0611000061035156</v>
      </c>
      <c r="J32">
        <v>0.8180999755859375</v>
      </c>
      <c r="K32">
        <v>1.0671999454498291</v>
      </c>
      <c r="L32">
        <v>4.4300001114606857E-2</v>
      </c>
      <c r="N32">
        <f t="shared" si="9"/>
        <v>1.0208000030517579</v>
      </c>
      <c r="O32">
        <f t="shared" si="0"/>
        <v>1.1330000247955323</v>
      </c>
      <c r="P32">
        <f t="shared" si="1"/>
        <v>1.145900019645691</v>
      </c>
      <c r="Q32">
        <f t="shared" si="2"/>
        <v>1.0167000379562379</v>
      </c>
      <c r="R32">
        <f t="shared" si="3"/>
        <v>0.78649998569488522</v>
      </c>
      <c r="S32">
        <f t="shared" si="4"/>
        <v>1.0440000381469727</v>
      </c>
      <c r="T32">
        <f t="shared" si="5"/>
        <v>0.86869997644424435</v>
      </c>
      <c r="U32">
        <f t="shared" si="6"/>
        <v>1.0201000061035157</v>
      </c>
      <c r="V32">
        <f t="shared" si="7"/>
        <v>0.77709997558593746</v>
      </c>
      <c r="W32">
        <f t="shared" si="8"/>
        <v>1.0261999454498292</v>
      </c>
    </row>
    <row r="33" spans="1:23" x14ac:dyDescent="0.2">
      <c r="A33" s="3" t="s">
        <v>54</v>
      </c>
      <c r="B33">
        <v>1.0005999803543091</v>
      </c>
      <c r="C33">
        <v>0.92519998550415039</v>
      </c>
      <c r="D33">
        <v>0.805899977684021</v>
      </c>
      <c r="E33">
        <v>0.90270000696182251</v>
      </c>
      <c r="F33">
        <v>1.1196000576019287</v>
      </c>
      <c r="G33">
        <v>1.1053999662399292</v>
      </c>
      <c r="H33">
        <v>0.9660000205039978</v>
      </c>
      <c r="I33">
        <v>1.0918999910354614</v>
      </c>
      <c r="J33">
        <v>1.0482000112533569</v>
      </c>
      <c r="K33">
        <v>0.83380001783370972</v>
      </c>
      <c r="L33">
        <v>4.4599998742341995E-2</v>
      </c>
      <c r="N33">
        <f t="shared" si="9"/>
        <v>0.95959998035430905</v>
      </c>
      <c r="O33">
        <f t="shared" si="0"/>
        <v>0.88419998550415035</v>
      </c>
      <c r="P33">
        <f t="shared" si="1"/>
        <v>0.76489997768402096</v>
      </c>
      <c r="Q33">
        <f t="shared" si="2"/>
        <v>0.86170000696182247</v>
      </c>
      <c r="R33">
        <f t="shared" si="3"/>
        <v>1.0786000576019288</v>
      </c>
      <c r="S33">
        <f t="shared" si="4"/>
        <v>1.0643999662399293</v>
      </c>
      <c r="T33">
        <f t="shared" si="5"/>
        <v>0.92500002050399777</v>
      </c>
      <c r="U33">
        <f t="shared" si="6"/>
        <v>1.0508999910354615</v>
      </c>
      <c r="V33">
        <f t="shared" si="7"/>
        <v>1.007200011253357</v>
      </c>
      <c r="W33">
        <f t="shared" si="8"/>
        <v>0.79280001783370968</v>
      </c>
    </row>
    <row r="35" spans="1:23" x14ac:dyDescent="0.2">
      <c r="L35">
        <f>AVERAGE(L29:L31)</f>
        <v>4.0733333677053452E-2</v>
      </c>
    </row>
    <row r="38" spans="1:23" x14ac:dyDescent="0.2">
      <c r="A38" t="s">
        <v>30</v>
      </c>
      <c r="B38" s="2" t="s">
        <v>55</v>
      </c>
    </row>
    <row r="43" spans="1:23" x14ac:dyDescent="0.2">
      <c r="A43" t="s">
        <v>56</v>
      </c>
    </row>
    <row r="44" spans="1:23" x14ac:dyDescent="0.2">
      <c r="A44" t="s">
        <v>16</v>
      </c>
      <c r="E44" t="s">
        <v>31</v>
      </c>
    </row>
    <row r="45" spans="1:23" x14ac:dyDescent="0.2">
      <c r="A45" t="s">
        <v>32</v>
      </c>
      <c r="E45">
        <v>488</v>
      </c>
      <c r="F45" t="s">
        <v>19</v>
      </c>
    </row>
    <row r="46" spans="1:23" x14ac:dyDescent="0.2">
      <c r="A46" t="s">
        <v>33</v>
      </c>
      <c r="E46">
        <v>520</v>
      </c>
      <c r="F46" t="s">
        <v>19</v>
      </c>
    </row>
    <row r="47" spans="1:23" x14ac:dyDescent="0.2">
      <c r="A47" t="s">
        <v>34</v>
      </c>
      <c r="E47">
        <v>9</v>
      </c>
      <c r="F47" t="s">
        <v>19</v>
      </c>
    </row>
    <row r="48" spans="1:23" x14ac:dyDescent="0.2">
      <c r="A48" t="s">
        <v>35</v>
      </c>
      <c r="E48">
        <v>20</v>
      </c>
      <c r="F48" t="s">
        <v>19</v>
      </c>
    </row>
    <row r="49" spans="1:12" x14ac:dyDescent="0.2">
      <c r="A49" t="s">
        <v>36</v>
      </c>
      <c r="E49">
        <v>50</v>
      </c>
      <c r="F49" t="s">
        <v>37</v>
      </c>
    </row>
    <row r="50" spans="1:12" x14ac:dyDescent="0.2">
      <c r="A50" t="s">
        <v>21</v>
      </c>
      <c r="E50">
        <v>25</v>
      </c>
    </row>
    <row r="51" spans="1:12" x14ac:dyDescent="0.2">
      <c r="A51" t="s">
        <v>38</v>
      </c>
      <c r="E51">
        <v>20</v>
      </c>
      <c r="F51" t="s">
        <v>39</v>
      </c>
    </row>
    <row r="52" spans="1:12" x14ac:dyDescent="0.2">
      <c r="A52" t="s">
        <v>40</v>
      </c>
      <c r="E52">
        <v>0</v>
      </c>
      <c r="F52" t="s">
        <v>39</v>
      </c>
    </row>
    <row r="53" spans="1:12" x14ac:dyDescent="0.2">
      <c r="A53" t="s">
        <v>22</v>
      </c>
      <c r="E53">
        <v>0</v>
      </c>
      <c r="F53" t="s">
        <v>23</v>
      </c>
    </row>
    <row r="54" spans="1:12" x14ac:dyDescent="0.2">
      <c r="A54" t="s">
        <v>41</v>
      </c>
      <c r="E54">
        <v>20000</v>
      </c>
      <c r="F54" t="s">
        <v>42</v>
      </c>
    </row>
    <row r="55" spans="1:12" x14ac:dyDescent="0.2">
      <c r="A55" t="s">
        <v>24</v>
      </c>
      <c r="E55" t="s">
        <v>50</v>
      </c>
    </row>
    <row r="56" spans="1:12" x14ac:dyDescent="0.2">
      <c r="A56" t="s">
        <v>25</v>
      </c>
      <c r="B56" s="2" t="s">
        <v>57</v>
      </c>
    </row>
    <row r="58" spans="1:12" x14ac:dyDescent="0.2">
      <c r="B58" t="s">
        <v>43</v>
      </c>
    </row>
    <row r="59" spans="1:12" x14ac:dyDescent="0.2">
      <c r="A59" s="3" t="s">
        <v>27</v>
      </c>
      <c r="B59" s="3">
        <v>2</v>
      </c>
      <c r="C59" s="3">
        <v>3</v>
      </c>
      <c r="D59" s="3">
        <v>4</v>
      </c>
      <c r="E59" s="3">
        <v>5</v>
      </c>
      <c r="F59" s="3">
        <v>6</v>
      </c>
      <c r="G59" s="3">
        <v>7</v>
      </c>
      <c r="H59" s="3">
        <v>8</v>
      </c>
      <c r="I59" s="3">
        <v>9</v>
      </c>
      <c r="J59" s="3">
        <v>10</v>
      </c>
      <c r="K59" s="3">
        <v>11</v>
      </c>
      <c r="L59" s="3">
        <v>12</v>
      </c>
    </row>
    <row r="60" spans="1:12" x14ac:dyDescent="0.2">
      <c r="A60" s="3" t="s">
        <v>28</v>
      </c>
      <c r="B60">
        <v>111</v>
      </c>
      <c r="C60">
        <v>503</v>
      </c>
      <c r="D60">
        <v>244</v>
      </c>
      <c r="E60">
        <v>125</v>
      </c>
      <c r="F60">
        <v>143</v>
      </c>
      <c r="G60">
        <v>109</v>
      </c>
      <c r="H60">
        <v>359</v>
      </c>
      <c r="I60">
        <v>176</v>
      </c>
      <c r="J60">
        <v>143</v>
      </c>
      <c r="K60">
        <v>136</v>
      </c>
      <c r="L60">
        <v>59</v>
      </c>
    </row>
    <row r="61" spans="1:12" x14ac:dyDescent="0.2">
      <c r="A61" s="3" t="s">
        <v>29</v>
      </c>
      <c r="B61">
        <v>122</v>
      </c>
      <c r="C61">
        <v>303</v>
      </c>
      <c r="D61">
        <v>253</v>
      </c>
      <c r="E61">
        <v>140</v>
      </c>
      <c r="F61">
        <v>131</v>
      </c>
      <c r="G61">
        <v>118</v>
      </c>
      <c r="H61">
        <v>349</v>
      </c>
      <c r="I61">
        <v>170</v>
      </c>
      <c r="J61">
        <v>131</v>
      </c>
      <c r="K61">
        <v>141</v>
      </c>
      <c r="L61">
        <v>60</v>
      </c>
    </row>
    <row r="62" spans="1:12" x14ac:dyDescent="0.2">
      <c r="A62" s="3" t="s">
        <v>52</v>
      </c>
      <c r="B62">
        <v>108</v>
      </c>
      <c r="C62">
        <v>471</v>
      </c>
      <c r="D62">
        <v>275</v>
      </c>
      <c r="E62">
        <v>137</v>
      </c>
      <c r="F62">
        <v>144</v>
      </c>
      <c r="G62">
        <v>108</v>
      </c>
      <c r="H62">
        <v>308</v>
      </c>
      <c r="I62">
        <v>198</v>
      </c>
      <c r="J62">
        <v>148</v>
      </c>
      <c r="K62">
        <v>133</v>
      </c>
      <c r="L62">
        <v>61</v>
      </c>
    </row>
    <row r="63" spans="1:12" x14ac:dyDescent="0.2">
      <c r="A63" s="3" t="s">
        <v>53</v>
      </c>
      <c r="B63">
        <v>122</v>
      </c>
      <c r="C63">
        <v>487</v>
      </c>
      <c r="D63">
        <v>226</v>
      </c>
      <c r="E63">
        <v>353</v>
      </c>
      <c r="F63">
        <v>124</v>
      </c>
      <c r="G63">
        <v>125</v>
      </c>
      <c r="H63">
        <v>266</v>
      </c>
      <c r="I63">
        <v>211</v>
      </c>
      <c r="J63">
        <v>120</v>
      </c>
      <c r="K63">
        <v>140</v>
      </c>
      <c r="L63">
        <v>7</v>
      </c>
    </row>
    <row r="64" spans="1:12" x14ac:dyDescent="0.2">
      <c r="A64" s="3" t="s">
        <v>54</v>
      </c>
      <c r="B64">
        <v>114</v>
      </c>
      <c r="C64">
        <v>355</v>
      </c>
      <c r="D64">
        <v>163</v>
      </c>
      <c r="E64">
        <v>180</v>
      </c>
      <c r="F64">
        <v>147</v>
      </c>
      <c r="G64">
        <v>123</v>
      </c>
      <c r="H64">
        <v>283</v>
      </c>
      <c r="I64">
        <v>213</v>
      </c>
      <c r="J64">
        <v>165</v>
      </c>
      <c r="K64">
        <v>124</v>
      </c>
      <c r="L64">
        <v>7</v>
      </c>
    </row>
    <row r="67" spans="1:23" x14ac:dyDescent="0.2">
      <c r="N67" s="20" t="s">
        <v>66</v>
      </c>
      <c r="O67" s="20"/>
      <c r="P67" s="20"/>
      <c r="Q67" s="20"/>
      <c r="R67" t="s">
        <v>67</v>
      </c>
      <c r="S67" s="20" t="s">
        <v>66</v>
      </c>
      <c r="T67" s="20"/>
      <c r="U67" s="20"/>
      <c r="V67" s="20"/>
      <c r="W67" t="s">
        <v>67</v>
      </c>
    </row>
    <row r="68" spans="1:23" x14ac:dyDescent="0.2">
      <c r="N68" s="20" t="s">
        <v>68</v>
      </c>
      <c r="O68" s="20"/>
      <c r="P68" s="20"/>
      <c r="Q68" s="20"/>
      <c r="R68" s="20"/>
      <c r="S68" s="20" t="s">
        <v>69</v>
      </c>
      <c r="T68" s="20"/>
      <c r="U68" s="20"/>
      <c r="V68" s="20"/>
      <c r="W68" s="20"/>
    </row>
    <row r="69" spans="1:23" ht="16" thickBot="1" x14ac:dyDescent="0.25">
      <c r="A69" t="s">
        <v>30</v>
      </c>
      <c r="B69" s="2" t="s">
        <v>58</v>
      </c>
      <c r="N69" t="s">
        <v>70</v>
      </c>
      <c r="O69" t="s">
        <v>71</v>
      </c>
      <c r="P69" t="s">
        <v>72</v>
      </c>
      <c r="Q69" t="s">
        <v>73</v>
      </c>
      <c r="R69" t="s">
        <v>74</v>
      </c>
      <c r="S69" t="s">
        <v>70</v>
      </c>
      <c r="T69" t="s">
        <v>71</v>
      </c>
      <c r="U69" t="s">
        <v>72</v>
      </c>
      <c r="V69" t="s">
        <v>73</v>
      </c>
      <c r="W69" t="s">
        <v>74</v>
      </c>
    </row>
    <row r="70" spans="1:23" x14ac:dyDescent="0.2">
      <c r="N70" s="6">
        <f>N91/N29</f>
        <v>798.0411690468203</v>
      </c>
      <c r="O70" s="7">
        <f t="shared" ref="O70:W70" si="10">O91/O29</f>
        <v>10327.841055409588</v>
      </c>
      <c r="P70" s="7">
        <f t="shared" si="10"/>
        <v>4282.6790253368044</v>
      </c>
      <c r="Q70" s="7">
        <f t="shared" si="10"/>
        <v>1518.9242742937834</v>
      </c>
      <c r="R70" s="8">
        <f t="shared" si="10"/>
        <v>1607.0776632946959</v>
      </c>
      <c r="S70" s="6">
        <f t="shared" si="10"/>
        <v>745.51905028000544</v>
      </c>
      <c r="T70" s="7">
        <f t="shared" si="10"/>
        <v>7089.1212290044459</v>
      </c>
      <c r="U70" s="7">
        <f t="shared" si="10"/>
        <v>2403.0521263481801</v>
      </c>
      <c r="V70" s="7">
        <f t="shared" si="10"/>
        <v>1522.1837491882616</v>
      </c>
      <c r="W70" s="8">
        <f t="shared" si="10"/>
        <v>1464.9865004908349</v>
      </c>
    </row>
    <row r="71" spans="1:23" x14ac:dyDescent="0.2">
      <c r="N71" s="9">
        <f t="shared" ref="N71:W74" si="11">N92/N30</f>
        <v>960.79469456000504</v>
      </c>
      <c r="O71">
        <f t="shared" si="11"/>
        <v>7241.3791274066216</v>
      </c>
      <c r="P71">
        <f t="shared" si="11"/>
        <v>5174.4617087965444</v>
      </c>
      <c r="Q71">
        <f t="shared" si="11"/>
        <v>1567.718883702556</v>
      </c>
      <c r="R71" s="10">
        <f t="shared" si="11"/>
        <v>1476.1703468175413</v>
      </c>
      <c r="S71" s="9">
        <f t="shared" si="11"/>
        <v>944.49763868588798</v>
      </c>
      <c r="T71">
        <f t="shared" si="11"/>
        <v>6953.3463198534637</v>
      </c>
      <c r="U71">
        <f t="shared" si="11"/>
        <v>3127.0237318319828</v>
      </c>
      <c r="V71">
        <f t="shared" si="11"/>
        <v>1389.8824487900731</v>
      </c>
      <c r="W71" s="10">
        <f t="shared" si="11"/>
        <v>1556.9972127670608</v>
      </c>
    </row>
    <row r="72" spans="1:23" x14ac:dyDescent="0.2">
      <c r="N72" s="9">
        <f t="shared" si="11"/>
        <v>686.51858491249823</v>
      </c>
      <c r="O72">
        <f t="shared" si="11"/>
        <v>9924.5279107104216</v>
      </c>
      <c r="P72">
        <f t="shared" si="11"/>
        <v>4840.775684047253</v>
      </c>
      <c r="Q72">
        <f t="shared" si="11"/>
        <v>1595.4356925390355</v>
      </c>
      <c r="R72" s="10">
        <f t="shared" si="11"/>
        <v>1579.8642625561913</v>
      </c>
      <c r="S72" s="9">
        <f t="shared" si="11"/>
        <v>933.15280433341832</v>
      </c>
      <c r="T72">
        <f t="shared" si="11"/>
        <v>6121.8813230521082</v>
      </c>
      <c r="U72">
        <f t="shared" si="11"/>
        <v>3519.6244788677559</v>
      </c>
      <c r="V72">
        <f t="shared" si="11"/>
        <v>1699.7530577568846</v>
      </c>
      <c r="W72" s="10">
        <f t="shared" si="11"/>
        <v>1483.6164187134004</v>
      </c>
    </row>
    <row r="73" spans="1:23" x14ac:dyDescent="0.2">
      <c r="N73" s="9">
        <f t="shared" si="11"/>
        <v>1105.9952944991871</v>
      </c>
      <c r="O73">
        <f t="shared" si="11"/>
        <v>10052.073919464674</v>
      </c>
      <c r="P73">
        <f t="shared" si="11"/>
        <v>3552.665965795813</v>
      </c>
      <c r="Q73">
        <f t="shared" si="11"/>
        <v>7529.2610546056621</v>
      </c>
      <c r="R73" s="10">
        <f t="shared" si="11"/>
        <v>1521.9326405231038</v>
      </c>
      <c r="S73" s="9">
        <f t="shared" si="11"/>
        <v>1149.4252453571901</v>
      </c>
      <c r="T73">
        <f t="shared" si="11"/>
        <v>6026.2462782926041</v>
      </c>
      <c r="U73">
        <f t="shared" si="11"/>
        <v>3606.5091441894078</v>
      </c>
      <c r="V73">
        <f t="shared" si="11"/>
        <v>1339.5959756852142</v>
      </c>
      <c r="W73" s="10">
        <f t="shared" si="11"/>
        <v>1588.384414974314</v>
      </c>
    </row>
    <row r="74" spans="1:23" ht="16" thickBot="1" x14ac:dyDescent="0.25">
      <c r="A74" t="s">
        <v>59</v>
      </c>
      <c r="N74" s="11">
        <f t="shared" si="11"/>
        <v>927.46979806251045</v>
      </c>
      <c r="O74" s="12">
        <f t="shared" si="11"/>
        <v>8690.3416941573014</v>
      </c>
      <c r="P74" s="12">
        <f t="shared" si="11"/>
        <v>2996.4702142360657</v>
      </c>
      <c r="Q74" s="12">
        <f t="shared" si="11"/>
        <v>3218.0573025373756</v>
      </c>
      <c r="R74" s="13">
        <f t="shared" si="11"/>
        <v>1703.1336008679953</v>
      </c>
      <c r="S74" s="11">
        <f t="shared" si="11"/>
        <v>1086.9974038867992</v>
      </c>
      <c r="T74" s="12">
        <f t="shared" si="11"/>
        <v>6164.3241876829306</v>
      </c>
      <c r="U74" s="12">
        <f t="shared" si="11"/>
        <v>3510.324513720087</v>
      </c>
      <c r="V74" s="12">
        <f t="shared" si="11"/>
        <v>2348.0936989436691</v>
      </c>
      <c r="W74" s="13">
        <f t="shared" si="11"/>
        <v>1468.2138923010843</v>
      </c>
    </row>
    <row r="75" spans="1:23" x14ac:dyDescent="0.2">
      <c r="A75" t="s">
        <v>16</v>
      </c>
      <c r="E75" t="s">
        <v>31</v>
      </c>
    </row>
    <row r="76" spans="1:23" x14ac:dyDescent="0.2">
      <c r="A76" t="s">
        <v>32</v>
      </c>
      <c r="E76">
        <v>488</v>
      </c>
      <c r="F76" t="s">
        <v>19</v>
      </c>
      <c r="N76">
        <f t="shared" ref="N76:W76" si="12">AVERAGE(N70:N74)</f>
        <v>895.7639082162043</v>
      </c>
      <c r="O76">
        <f t="shared" si="12"/>
        <v>9247.2327414297215</v>
      </c>
      <c r="P76">
        <f t="shared" si="12"/>
        <v>4169.4105196424953</v>
      </c>
      <c r="Q76">
        <f t="shared" si="12"/>
        <v>3085.8794415356829</v>
      </c>
      <c r="R76">
        <f t="shared" si="12"/>
        <v>1577.6357028119057</v>
      </c>
      <c r="S76">
        <f t="shared" si="12"/>
        <v>971.91842850866033</v>
      </c>
      <c r="T76">
        <f t="shared" si="12"/>
        <v>6470.9838675771107</v>
      </c>
      <c r="U76">
        <f t="shared" si="12"/>
        <v>3233.3067989914825</v>
      </c>
      <c r="V76">
        <f t="shared" si="12"/>
        <v>1659.9017860728206</v>
      </c>
      <c r="W76">
        <f t="shared" si="12"/>
        <v>1512.439687849339</v>
      </c>
    </row>
    <row r="77" spans="1:23" x14ac:dyDescent="0.2">
      <c r="A77" t="s">
        <v>33</v>
      </c>
      <c r="E77">
        <v>520</v>
      </c>
      <c r="F77" t="s">
        <v>19</v>
      </c>
    </row>
    <row r="78" spans="1:23" x14ac:dyDescent="0.2">
      <c r="A78" t="s">
        <v>34</v>
      </c>
      <c r="E78">
        <v>9</v>
      </c>
      <c r="F78" t="s">
        <v>19</v>
      </c>
      <c r="M78" t="s">
        <v>75</v>
      </c>
      <c r="N78" s="14">
        <f>N76/974</f>
        <v>0.91967547044784836</v>
      </c>
      <c r="O78" s="15">
        <f>O76/10336</f>
        <v>0.89466261043244211</v>
      </c>
      <c r="P78" s="15">
        <f>P76/16798</f>
        <v>0.24820874625803638</v>
      </c>
      <c r="Q78" s="15">
        <f>Q76/40900</f>
        <v>7.5449375098671959E-2</v>
      </c>
      <c r="R78" s="14">
        <f>R76/1809</f>
        <v>0.87210376053726135</v>
      </c>
      <c r="S78">
        <f>S76/895</f>
        <v>1.0859423782219668</v>
      </c>
      <c r="T78" s="15">
        <f>T76/10832</f>
        <v>0.59739511332875839</v>
      </c>
      <c r="U78" s="15">
        <f>U76/17626</f>
        <v>0.18343962322656771</v>
      </c>
      <c r="V78" s="15">
        <f>V76/52231</f>
        <v>3.1780011603699351E-2</v>
      </c>
      <c r="W78">
        <f>W76/1938</f>
        <v>0.78041263562917385</v>
      </c>
    </row>
    <row r="79" spans="1:23" x14ac:dyDescent="0.2">
      <c r="A79" t="s">
        <v>35</v>
      </c>
      <c r="E79">
        <v>20</v>
      </c>
      <c r="F79" t="s">
        <v>19</v>
      </c>
      <c r="N79" s="14"/>
      <c r="O79" s="15"/>
      <c r="P79" s="15"/>
      <c r="Q79" s="15"/>
      <c r="R79" s="14"/>
      <c r="T79" s="15"/>
      <c r="U79" s="15"/>
      <c r="V79" s="15"/>
    </row>
    <row r="80" spans="1:23" x14ac:dyDescent="0.2">
      <c r="A80" t="s">
        <v>36</v>
      </c>
      <c r="E80">
        <v>80</v>
      </c>
      <c r="F80" t="s">
        <v>37</v>
      </c>
      <c r="O80">
        <v>0.76480811530581838</v>
      </c>
      <c r="P80">
        <v>0.27963033866450804</v>
      </c>
      <c r="Q80">
        <v>2.5762064429055653E-2</v>
      </c>
      <c r="T80">
        <v>0.47405271129345883</v>
      </c>
      <c r="U80">
        <v>0.12721054123881126</v>
      </c>
      <c r="V80">
        <v>1.7987497954172215E-2</v>
      </c>
    </row>
    <row r="81" spans="1:23" x14ac:dyDescent="0.2">
      <c r="A81" t="s">
        <v>21</v>
      </c>
      <c r="E81">
        <v>25</v>
      </c>
    </row>
    <row r="82" spans="1:23" ht="16" thickBot="1" x14ac:dyDescent="0.25">
      <c r="A82" t="s">
        <v>38</v>
      </c>
      <c r="E82">
        <v>20</v>
      </c>
      <c r="F82" t="s">
        <v>39</v>
      </c>
    </row>
    <row r="83" spans="1:23" ht="16" thickBot="1" x14ac:dyDescent="0.25">
      <c r="A83" t="s">
        <v>40</v>
      </c>
      <c r="E83">
        <v>0</v>
      </c>
      <c r="F83" t="s">
        <v>39</v>
      </c>
      <c r="M83" t="s">
        <v>76</v>
      </c>
      <c r="N83" s="16">
        <v>714.81260550143907</v>
      </c>
      <c r="O83" s="17">
        <v>8657.2097105521261</v>
      </c>
      <c r="P83" s="17">
        <v>5517.7338255343739</v>
      </c>
      <c r="Q83" s="17">
        <v>1018.9620756169745</v>
      </c>
      <c r="R83" s="18">
        <v>1433.8180261282453</v>
      </c>
      <c r="S83" s="16">
        <v>688.95452093015979</v>
      </c>
      <c r="T83" s="17">
        <v>7608.1893746563246</v>
      </c>
      <c r="U83" s="17">
        <v>2228.0223339206577</v>
      </c>
      <c r="V83" s="17">
        <v>880.59280703005538</v>
      </c>
      <c r="W83" s="18">
        <v>1464.9586991084579</v>
      </c>
    </row>
    <row r="84" spans="1:23" x14ac:dyDescent="0.2">
      <c r="A84" t="s">
        <v>22</v>
      </c>
      <c r="E84">
        <v>0</v>
      </c>
      <c r="F84" t="s">
        <v>23</v>
      </c>
      <c r="M84" t="s">
        <v>77</v>
      </c>
      <c r="N84">
        <f>N76/N83</f>
        <v>1.2531450919053511</v>
      </c>
      <c r="O84" s="14">
        <f t="shared" ref="O84:W84" si="13">O76/O83</f>
        <v>1.0681539492058771</v>
      </c>
      <c r="P84" s="14">
        <f t="shared" si="13"/>
        <v>0.75563821153310196</v>
      </c>
      <c r="Q84" s="14">
        <f>Q76/Q83</f>
        <v>3.0284536739674084</v>
      </c>
      <c r="R84">
        <f t="shared" si="13"/>
        <v>1.1003039953905538</v>
      </c>
      <c r="S84">
        <f t="shared" si="13"/>
        <v>1.4107149296247741</v>
      </c>
      <c r="T84" s="14">
        <f t="shared" si="13"/>
        <v>0.85052875906751679</v>
      </c>
      <c r="U84" s="14">
        <f t="shared" si="13"/>
        <v>1.4512003536794995</v>
      </c>
      <c r="V84" s="14">
        <f>V76/V83</f>
        <v>1.8849822220001018</v>
      </c>
      <c r="W84">
        <f t="shared" si="13"/>
        <v>1.0324111449488487</v>
      </c>
    </row>
    <row r="85" spans="1:23" x14ac:dyDescent="0.2">
      <c r="A85" t="s">
        <v>41</v>
      </c>
      <c r="E85">
        <v>20000</v>
      </c>
      <c r="F85" t="s">
        <v>42</v>
      </c>
    </row>
    <row r="86" spans="1:23" ht="16" thickBot="1" x14ac:dyDescent="0.25">
      <c r="A86" t="s">
        <v>24</v>
      </c>
      <c r="E86" t="s">
        <v>50</v>
      </c>
      <c r="M86" t="s">
        <v>78</v>
      </c>
      <c r="N86">
        <v>1332.2986394617906</v>
      </c>
      <c r="O86">
        <v>12151.597751635452</v>
      </c>
      <c r="P86">
        <v>9983.4982568661017</v>
      </c>
      <c r="Q86">
        <v>14005.697216489109</v>
      </c>
      <c r="R86">
        <v>2266.3493807658733</v>
      </c>
      <c r="S86">
        <v>1359.7443166378155</v>
      </c>
      <c r="T86">
        <v>12702.261450492337</v>
      </c>
      <c r="U86">
        <v>11913.199206990072</v>
      </c>
      <c r="V86">
        <v>11945.967625454212</v>
      </c>
      <c r="W86">
        <v>2461.8538792303502</v>
      </c>
    </row>
    <row r="87" spans="1:23" ht="16" thickBot="1" x14ac:dyDescent="0.25">
      <c r="A87" t="s">
        <v>25</v>
      </c>
      <c r="B87" s="2" t="s">
        <v>60</v>
      </c>
      <c r="M87" t="s">
        <v>79</v>
      </c>
      <c r="N87" s="16">
        <f>N76/N86</f>
        <v>0.67234468435550343</v>
      </c>
      <c r="O87" s="17">
        <f t="shared" ref="O87:W87" si="14">O76/O86</f>
        <v>0.76098904279358326</v>
      </c>
      <c r="P87" s="17">
        <f t="shared" si="14"/>
        <v>0.4176302146169058</v>
      </c>
      <c r="Q87" s="17">
        <f t="shared" si="14"/>
        <v>0.22033029800920104</v>
      </c>
      <c r="R87" s="19">
        <f t="shared" si="14"/>
        <v>0.69611319252055093</v>
      </c>
      <c r="S87" s="16">
        <f t="shared" si="14"/>
        <v>0.71478028377561709</v>
      </c>
      <c r="T87" s="17">
        <f t="shared" si="14"/>
        <v>0.5094355751373939</v>
      </c>
      <c r="U87" s="17">
        <f t="shared" si="14"/>
        <v>0.27140541703477428</v>
      </c>
      <c r="V87" s="17">
        <f t="shared" si="14"/>
        <v>0.13895080232227797</v>
      </c>
      <c r="W87" s="19">
        <f t="shared" si="14"/>
        <v>0.61434990135246093</v>
      </c>
    </row>
    <row r="89" spans="1:23" x14ac:dyDescent="0.2">
      <c r="B89" t="s">
        <v>43</v>
      </c>
    </row>
    <row r="90" spans="1:23" x14ac:dyDescent="0.2">
      <c r="A90" s="3" t="s">
        <v>27</v>
      </c>
      <c r="B90" s="3">
        <v>2</v>
      </c>
      <c r="C90" s="3">
        <v>3</v>
      </c>
      <c r="D90" s="3">
        <v>4</v>
      </c>
      <c r="E90" s="3">
        <v>5</v>
      </c>
      <c r="F90" s="3">
        <v>6</v>
      </c>
      <c r="G90" s="3">
        <v>7</v>
      </c>
      <c r="H90" s="3">
        <v>8</v>
      </c>
      <c r="I90" s="3">
        <v>9</v>
      </c>
      <c r="J90" s="3">
        <v>10</v>
      </c>
      <c r="K90" s="3">
        <v>11</v>
      </c>
      <c r="L90" s="3">
        <v>12</v>
      </c>
    </row>
    <row r="91" spans="1:23" x14ac:dyDescent="0.2">
      <c r="A91" s="3" t="s">
        <v>28</v>
      </c>
      <c r="B91">
        <v>3232</v>
      </c>
      <c r="C91">
        <v>14323</v>
      </c>
      <c r="D91">
        <v>6988</v>
      </c>
      <c r="E91">
        <v>3572</v>
      </c>
      <c r="F91">
        <v>4114</v>
      </c>
      <c r="G91">
        <v>3109</v>
      </c>
      <c r="H91">
        <v>10211</v>
      </c>
      <c r="I91">
        <v>5029</v>
      </c>
      <c r="J91">
        <v>4064</v>
      </c>
      <c r="K91">
        <v>3875</v>
      </c>
      <c r="L91">
        <v>2349</v>
      </c>
      <c r="N91">
        <f>B91-2352</f>
        <v>880</v>
      </c>
      <c r="O91">
        <f t="shared" ref="O91:O95" si="15">C91-2352</f>
        <v>11971</v>
      </c>
      <c r="P91">
        <f t="shared" ref="P91:P95" si="16">D91-2352</f>
        <v>4636</v>
      </c>
      <c r="Q91">
        <f t="shared" ref="Q91:Q95" si="17">E91-2352</f>
        <v>1220</v>
      </c>
      <c r="R91">
        <f t="shared" ref="R91:R95" si="18">F91-2352</f>
        <v>1762</v>
      </c>
      <c r="S91">
        <f t="shared" ref="S91:S95" si="19">G91-2352</f>
        <v>757</v>
      </c>
      <c r="T91">
        <f t="shared" ref="T91:T95" si="20">H91-2352</f>
        <v>7859</v>
      </c>
      <c r="U91">
        <f t="shared" ref="U91:U95" si="21">I91-2352</f>
        <v>2677</v>
      </c>
      <c r="V91">
        <f t="shared" ref="V91:V95" si="22">J91-2352</f>
        <v>1712</v>
      </c>
      <c r="W91">
        <f t="shared" ref="W91:W95" si="23">K91-2352</f>
        <v>1523</v>
      </c>
    </row>
    <row r="92" spans="1:23" x14ac:dyDescent="0.2">
      <c r="A92" s="3" t="s">
        <v>29</v>
      </c>
      <c r="B92">
        <v>3445</v>
      </c>
      <c r="C92">
        <v>8694</v>
      </c>
      <c r="D92">
        <v>7231</v>
      </c>
      <c r="E92">
        <v>3976</v>
      </c>
      <c r="F92">
        <v>3752</v>
      </c>
      <c r="G92">
        <v>3339</v>
      </c>
      <c r="H92">
        <v>9968</v>
      </c>
      <c r="I92">
        <v>4863</v>
      </c>
      <c r="J92">
        <v>3712</v>
      </c>
      <c r="K92">
        <v>4032</v>
      </c>
      <c r="L92">
        <v>2363</v>
      </c>
      <c r="N92">
        <f t="shared" ref="N92:N95" si="24">B92-2352</f>
        <v>1093</v>
      </c>
      <c r="O92">
        <f t="shared" si="15"/>
        <v>6342</v>
      </c>
      <c r="P92">
        <f t="shared" si="16"/>
        <v>4879</v>
      </c>
      <c r="Q92">
        <f t="shared" si="17"/>
        <v>1624</v>
      </c>
      <c r="R92">
        <f t="shared" si="18"/>
        <v>1400</v>
      </c>
      <c r="S92">
        <f t="shared" si="19"/>
        <v>987</v>
      </c>
      <c r="T92">
        <f t="shared" si="20"/>
        <v>7616</v>
      </c>
      <c r="U92">
        <f t="shared" si="21"/>
        <v>2511</v>
      </c>
      <c r="V92">
        <f t="shared" si="22"/>
        <v>1360</v>
      </c>
      <c r="W92">
        <f t="shared" si="23"/>
        <v>1680</v>
      </c>
    </row>
    <row r="93" spans="1:23" x14ac:dyDescent="0.2">
      <c r="A93" s="3" t="s">
        <v>52</v>
      </c>
      <c r="B93">
        <v>3069</v>
      </c>
      <c r="C93">
        <v>13398</v>
      </c>
      <c r="D93">
        <v>7794</v>
      </c>
      <c r="E93">
        <v>3890</v>
      </c>
      <c r="F93">
        <v>4075</v>
      </c>
      <c r="G93">
        <v>3110</v>
      </c>
      <c r="H93">
        <v>8731</v>
      </c>
      <c r="I93">
        <v>5652</v>
      </c>
      <c r="J93">
        <v>4210</v>
      </c>
      <c r="K93">
        <v>3819</v>
      </c>
      <c r="L93">
        <v>2343</v>
      </c>
      <c r="N93">
        <f t="shared" si="24"/>
        <v>717</v>
      </c>
      <c r="O93">
        <f t="shared" si="15"/>
        <v>11046</v>
      </c>
      <c r="P93">
        <f t="shared" si="16"/>
        <v>5442</v>
      </c>
      <c r="Q93">
        <f t="shared" si="17"/>
        <v>1538</v>
      </c>
      <c r="R93">
        <f t="shared" si="18"/>
        <v>1723</v>
      </c>
      <c r="S93">
        <f t="shared" si="19"/>
        <v>758</v>
      </c>
      <c r="T93">
        <f t="shared" si="20"/>
        <v>6379</v>
      </c>
      <c r="U93">
        <f t="shared" si="21"/>
        <v>3300</v>
      </c>
      <c r="V93">
        <f t="shared" si="22"/>
        <v>1858</v>
      </c>
      <c r="W93">
        <f t="shared" si="23"/>
        <v>1467</v>
      </c>
    </row>
    <row r="94" spans="1:23" x14ac:dyDescent="0.2">
      <c r="A94" s="3" t="s">
        <v>53</v>
      </c>
      <c r="B94">
        <v>3481</v>
      </c>
      <c r="C94">
        <v>13741</v>
      </c>
      <c r="D94">
        <v>6423</v>
      </c>
      <c r="E94">
        <v>10007</v>
      </c>
      <c r="F94">
        <v>3549</v>
      </c>
      <c r="G94">
        <v>3552</v>
      </c>
      <c r="H94">
        <v>7587</v>
      </c>
      <c r="I94">
        <v>6031</v>
      </c>
      <c r="J94">
        <v>3393</v>
      </c>
      <c r="K94">
        <v>3982</v>
      </c>
      <c r="L94">
        <v>194</v>
      </c>
      <c r="N94">
        <f t="shared" si="24"/>
        <v>1129</v>
      </c>
      <c r="O94">
        <f t="shared" si="15"/>
        <v>11389</v>
      </c>
      <c r="P94">
        <f t="shared" si="16"/>
        <v>4071</v>
      </c>
      <c r="Q94">
        <f t="shared" si="17"/>
        <v>7655</v>
      </c>
      <c r="R94">
        <f t="shared" si="18"/>
        <v>1197</v>
      </c>
      <c r="S94">
        <f t="shared" si="19"/>
        <v>1200</v>
      </c>
      <c r="T94">
        <f t="shared" si="20"/>
        <v>5235</v>
      </c>
      <c r="U94">
        <f t="shared" si="21"/>
        <v>3679</v>
      </c>
      <c r="V94">
        <f t="shared" si="22"/>
        <v>1041</v>
      </c>
      <c r="W94">
        <f t="shared" si="23"/>
        <v>1630</v>
      </c>
    </row>
    <row r="95" spans="1:23" x14ac:dyDescent="0.2">
      <c r="A95" s="3" t="s">
        <v>54</v>
      </c>
      <c r="B95">
        <v>3242</v>
      </c>
      <c r="C95">
        <v>10036</v>
      </c>
      <c r="D95">
        <v>4644</v>
      </c>
      <c r="E95">
        <v>5125</v>
      </c>
      <c r="F95">
        <v>4189</v>
      </c>
      <c r="G95">
        <v>3509</v>
      </c>
      <c r="H95">
        <v>8054</v>
      </c>
      <c r="I95">
        <v>6041</v>
      </c>
      <c r="J95">
        <v>4717</v>
      </c>
      <c r="K95">
        <v>3516</v>
      </c>
      <c r="L95">
        <v>196</v>
      </c>
      <c r="N95">
        <f t="shared" si="24"/>
        <v>890</v>
      </c>
      <c r="O95">
        <f t="shared" si="15"/>
        <v>7684</v>
      </c>
      <c r="P95">
        <f t="shared" si="16"/>
        <v>2292</v>
      </c>
      <c r="Q95">
        <f t="shared" si="17"/>
        <v>2773</v>
      </c>
      <c r="R95">
        <f t="shared" si="18"/>
        <v>1837</v>
      </c>
      <c r="S95">
        <f t="shared" si="19"/>
        <v>1157</v>
      </c>
      <c r="T95">
        <f t="shared" si="20"/>
        <v>5702</v>
      </c>
      <c r="U95">
        <f t="shared" si="21"/>
        <v>3689</v>
      </c>
      <c r="V95">
        <f t="shared" si="22"/>
        <v>2365</v>
      </c>
      <c r="W95">
        <f t="shared" si="23"/>
        <v>1164</v>
      </c>
    </row>
    <row r="97" spans="1:12" x14ac:dyDescent="0.2">
      <c r="L97">
        <f>AVERAGE(L91:L93)</f>
        <v>2351.6666666666665</v>
      </c>
    </row>
    <row r="100" spans="1:12" x14ac:dyDescent="0.2">
      <c r="A100" t="s">
        <v>30</v>
      </c>
      <c r="B100" s="2" t="s">
        <v>61</v>
      </c>
    </row>
    <row r="105" spans="1:12" x14ac:dyDescent="0.2">
      <c r="A105" t="s">
        <v>62</v>
      </c>
    </row>
    <row r="106" spans="1:12" x14ac:dyDescent="0.2">
      <c r="A106" t="s">
        <v>16</v>
      </c>
      <c r="E106" t="s">
        <v>31</v>
      </c>
    </row>
    <row r="107" spans="1:12" x14ac:dyDescent="0.2">
      <c r="A107" t="s">
        <v>32</v>
      </c>
      <c r="E107">
        <v>488</v>
      </c>
      <c r="F107" t="s">
        <v>19</v>
      </c>
    </row>
    <row r="108" spans="1:12" x14ac:dyDescent="0.2">
      <c r="A108" t="s">
        <v>33</v>
      </c>
      <c r="E108">
        <v>520</v>
      </c>
      <c r="F108" t="s">
        <v>19</v>
      </c>
    </row>
    <row r="109" spans="1:12" x14ac:dyDescent="0.2">
      <c r="A109" t="s">
        <v>34</v>
      </c>
      <c r="E109">
        <v>9</v>
      </c>
      <c r="F109" t="s">
        <v>19</v>
      </c>
    </row>
    <row r="110" spans="1:12" x14ac:dyDescent="0.2">
      <c r="A110" t="s">
        <v>35</v>
      </c>
      <c r="E110">
        <v>20</v>
      </c>
      <c r="F110" t="s">
        <v>19</v>
      </c>
    </row>
    <row r="111" spans="1:12" x14ac:dyDescent="0.2">
      <c r="A111" t="s">
        <v>36</v>
      </c>
      <c r="E111">
        <v>100</v>
      </c>
      <c r="F111" t="s">
        <v>37</v>
      </c>
    </row>
    <row r="112" spans="1:12" x14ac:dyDescent="0.2">
      <c r="A112" t="s">
        <v>21</v>
      </c>
      <c r="E112">
        <v>25</v>
      </c>
    </row>
    <row r="113" spans="1:12" x14ac:dyDescent="0.2">
      <c r="A113" t="s">
        <v>38</v>
      </c>
      <c r="E113">
        <v>20</v>
      </c>
      <c r="F113" t="s">
        <v>39</v>
      </c>
    </row>
    <row r="114" spans="1:12" x14ac:dyDescent="0.2">
      <c r="A114" t="s">
        <v>40</v>
      </c>
      <c r="E114">
        <v>0</v>
      </c>
      <c r="F114" t="s">
        <v>39</v>
      </c>
    </row>
    <row r="115" spans="1:12" x14ac:dyDescent="0.2">
      <c r="A115" t="s">
        <v>22</v>
      </c>
      <c r="E115">
        <v>0</v>
      </c>
      <c r="F115" t="s">
        <v>23</v>
      </c>
    </row>
    <row r="116" spans="1:12" x14ac:dyDescent="0.2">
      <c r="A116" t="s">
        <v>41</v>
      </c>
      <c r="E116">
        <v>20000</v>
      </c>
      <c r="F116" t="s">
        <v>42</v>
      </c>
    </row>
    <row r="117" spans="1:12" x14ac:dyDescent="0.2">
      <c r="A117" t="s">
        <v>24</v>
      </c>
      <c r="E117" t="s">
        <v>50</v>
      </c>
    </row>
    <row r="118" spans="1:12" x14ac:dyDescent="0.2">
      <c r="A118" t="s">
        <v>25</v>
      </c>
      <c r="B118" s="2" t="s">
        <v>63</v>
      </c>
    </row>
    <row r="120" spans="1:12" x14ac:dyDescent="0.2">
      <c r="B120" t="s">
        <v>43</v>
      </c>
    </row>
    <row r="121" spans="1:12" x14ac:dyDescent="0.2">
      <c r="A121" s="3" t="s">
        <v>27</v>
      </c>
      <c r="B121" s="3">
        <v>2</v>
      </c>
      <c r="C121" s="3">
        <v>3</v>
      </c>
      <c r="D121" s="3">
        <v>4</v>
      </c>
      <c r="E121" s="3">
        <v>5</v>
      </c>
      <c r="F121" s="3">
        <v>6</v>
      </c>
      <c r="G121" s="3">
        <v>7</v>
      </c>
      <c r="H121" s="3">
        <v>8</v>
      </c>
      <c r="I121" s="3">
        <v>9</v>
      </c>
      <c r="J121" s="3">
        <v>10</v>
      </c>
      <c r="K121" s="3">
        <v>11</v>
      </c>
      <c r="L121" s="3">
        <v>12</v>
      </c>
    </row>
    <row r="122" spans="1:12" x14ac:dyDescent="0.2">
      <c r="A122" s="3" t="s">
        <v>28</v>
      </c>
      <c r="B122">
        <v>15484</v>
      </c>
      <c r="C122" s="5" t="s">
        <v>64</v>
      </c>
      <c r="D122">
        <v>33533</v>
      </c>
      <c r="E122">
        <v>17129</v>
      </c>
      <c r="F122">
        <v>19740</v>
      </c>
      <c r="G122">
        <v>14995</v>
      </c>
      <c r="H122">
        <v>48777</v>
      </c>
      <c r="I122">
        <v>24147</v>
      </c>
      <c r="J122">
        <v>19600</v>
      </c>
      <c r="K122">
        <v>18705</v>
      </c>
      <c r="L122">
        <v>8038</v>
      </c>
    </row>
    <row r="123" spans="1:12" x14ac:dyDescent="0.2">
      <c r="A123" s="3" t="s">
        <v>29</v>
      </c>
      <c r="B123">
        <v>16540</v>
      </c>
      <c r="C123">
        <v>41574</v>
      </c>
      <c r="D123">
        <v>34698</v>
      </c>
      <c r="E123">
        <v>19146</v>
      </c>
      <c r="F123">
        <v>17989</v>
      </c>
      <c r="G123">
        <v>16098</v>
      </c>
      <c r="H123">
        <v>47611</v>
      </c>
      <c r="I123">
        <v>23301</v>
      </c>
      <c r="J123">
        <v>17880</v>
      </c>
      <c r="K123">
        <v>19299</v>
      </c>
      <c r="L123">
        <v>8086</v>
      </c>
    </row>
    <row r="124" spans="1:12" x14ac:dyDescent="0.2">
      <c r="A124" s="3" t="s">
        <v>52</v>
      </c>
      <c r="B124">
        <v>14807</v>
      </c>
      <c r="C124" s="5" t="s">
        <v>64</v>
      </c>
      <c r="D124">
        <v>37209</v>
      </c>
      <c r="E124">
        <v>18715</v>
      </c>
      <c r="F124">
        <v>19593</v>
      </c>
      <c r="G124">
        <v>14909</v>
      </c>
      <c r="H124">
        <v>41792</v>
      </c>
      <c r="I124">
        <v>27129</v>
      </c>
      <c r="J124">
        <v>20251</v>
      </c>
      <c r="K124">
        <v>18333</v>
      </c>
      <c r="L124">
        <v>8095</v>
      </c>
    </row>
    <row r="125" spans="1:12" x14ac:dyDescent="0.2">
      <c r="A125" s="3" t="s">
        <v>53</v>
      </c>
      <c r="B125">
        <v>16767</v>
      </c>
      <c r="C125" s="5" t="s">
        <v>64</v>
      </c>
      <c r="D125">
        <v>30785</v>
      </c>
      <c r="E125">
        <v>47971</v>
      </c>
      <c r="F125">
        <v>17091</v>
      </c>
      <c r="G125">
        <v>17031</v>
      </c>
      <c r="H125">
        <v>36451</v>
      </c>
      <c r="I125">
        <v>28985</v>
      </c>
      <c r="J125">
        <v>16331</v>
      </c>
      <c r="K125">
        <v>19097</v>
      </c>
      <c r="L125">
        <v>930</v>
      </c>
    </row>
    <row r="126" spans="1:12" x14ac:dyDescent="0.2">
      <c r="A126" s="3" t="s">
        <v>54</v>
      </c>
      <c r="B126">
        <v>15577</v>
      </c>
      <c r="C126">
        <v>48062</v>
      </c>
      <c r="D126">
        <v>22369</v>
      </c>
      <c r="E126">
        <v>24556</v>
      </c>
      <c r="F126">
        <v>20168</v>
      </c>
      <c r="G126">
        <v>16862</v>
      </c>
      <c r="H126">
        <v>38609</v>
      </c>
      <c r="I126">
        <v>29020</v>
      </c>
      <c r="J126">
        <v>22619</v>
      </c>
      <c r="K126">
        <v>16856</v>
      </c>
      <c r="L126">
        <v>946</v>
      </c>
    </row>
    <row r="131" spans="1:2" x14ac:dyDescent="0.2">
      <c r="A131" t="s">
        <v>30</v>
      </c>
      <c r="B131" s="2" t="s">
        <v>65</v>
      </c>
    </row>
  </sheetData>
  <mergeCells count="4">
    <mergeCell ref="N67:Q67"/>
    <mergeCell ref="S67:V67"/>
    <mergeCell ref="N68:R68"/>
    <mergeCell ref="S68:W68"/>
  </mergeCells>
  <conditionalFormatting sqref="N83:W8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2025-09-22T12:51:40Z</dcterms:created>
  <dcterms:modified xsi:type="dcterms:W3CDTF">2025-10-25T03:05:31Z</dcterms:modified>
</cp:coreProperties>
</file>