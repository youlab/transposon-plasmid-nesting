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8093C871-5058-2541-B203-6F72C82F45D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3" r:id="rId1"/>
    <sheet name="Sheet2" sheetId="2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" i="3" l="1"/>
  <c r="N92" i="3"/>
  <c r="N93" i="3"/>
  <c r="N94" i="3"/>
  <c r="N73" i="3" s="1"/>
  <c r="N95" i="3"/>
  <c r="O91" i="3"/>
  <c r="P91" i="3"/>
  <c r="Q91" i="3"/>
  <c r="R91" i="3"/>
  <c r="S91" i="3"/>
  <c r="T91" i="3"/>
  <c r="U91" i="3"/>
  <c r="U70" i="3" s="1"/>
  <c r="V91" i="3"/>
  <c r="W91" i="3"/>
  <c r="O92" i="3"/>
  <c r="O71" i="3" s="1"/>
  <c r="P92" i="3"/>
  <c r="P71" i="3" s="1"/>
  <c r="Q92" i="3"/>
  <c r="Q71" i="3" s="1"/>
  <c r="R92" i="3"/>
  <c r="S92" i="3"/>
  <c r="T92" i="3"/>
  <c r="U92" i="3"/>
  <c r="V92" i="3"/>
  <c r="W92" i="3"/>
  <c r="O93" i="3"/>
  <c r="P93" i="3"/>
  <c r="Q93" i="3"/>
  <c r="R93" i="3"/>
  <c r="S93" i="3"/>
  <c r="T93" i="3"/>
  <c r="U93" i="3"/>
  <c r="V93" i="3"/>
  <c r="V72" i="3" s="1"/>
  <c r="W93" i="3"/>
  <c r="W72" i="3" s="1"/>
  <c r="O94" i="3"/>
  <c r="O73" i="3" s="1"/>
  <c r="P94" i="3"/>
  <c r="P73" i="3" s="1"/>
  <c r="Q94" i="3"/>
  <c r="R94" i="3"/>
  <c r="S94" i="3"/>
  <c r="T94" i="3"/>
  <c r="U94" i="3"/>
  <c r="V94" i="3"/>
  <c r="W94" i="3"/>
  <c r="O95" i="3"/>
  <c r="O74" i="3" s="1"/>
  <c r="P95" i="3"/>
  <c r="P74" i="3" s="1"/>
  <c r="Q95" i="3"/>
  <c r="Q74" i="3" s="1"/>
  <c r="R95" i="3"/>
  <c r="S95" i="3"/>
  <c r="T95" i="3"/>
  <c r="U95" i="3"/>
  <c r="V95" i="3"/>
  <c r="W95" i="3"/>
  <c r="W74" i="3" s="1"/>
  <c r="W73" i="3"/>
  <c r="W70" i="3"/>
  <c r="V70" i="3"/>
  <c r="N71" i="3"/>
  <c r="L97" i="3"/>
  <c r="W33" i="3"/>
  <c r="V33" i="3"/>
  <c r="U33" i="3"/>
  <c r="T33" i="3"/>
  <c r="S33" i="3"/>
  <c r="R33" i="3"/>
  <c r="Q33" i="3"/>
  <c r="P33" i="3"/>
  <c r="O33" i="3"/>
  <c r="W32" i="3"/>
  <c r="V32" i="3"/>
  <c r="V73" i="3" s="1"/>
  <c r="U32" i="3"/>
  <c r="U73" i="3" s="1"/>
  <c r="T32" i="3"/>
  <c r="T73" i="3" s="1"/>
  <c r="S32" i="3"/>
  <c r="R32" i="3"/>
  <c r="Q32" i="3"/>
  <c r="P32" i="3"/>
  <c r="O32" i="3"/>
  <c r="W31" i="3"/>
  <c r="V31" i="3"/>
  <c r="U31" i="3"/>
  <c r="T31" i="3"/>
  <c r="S31" i="3"/>
  <c r="R31" i="3"/>
  <c r="Q31" i="3"/>
  <c r="P31" i="3"/>
  <c r="O31" i="3"/>
  <c r="O72" i="3" s="1"/>
  <c r="W30" i="3"/>
  <c r="W71" i="3" s="1"/>
  <c r="V30" i="3"/>
  <c r="V71" i="3" s="1"/>
  <c r="U30" i="3"/>
  <c r="T30" i="3"/>
  <c r="S30" i="3"/>
  <c r="R30" i="3"/>
  <c r="Q30" i="3"/>
  <c r="P30" i="3"/>
  <c r="O30" i="3"/>
  <c r="W29" i="3"/>
  <c r="V29" i="3"/>
  <c r="U29" i="3"/>
  <c r="T29" i="3"/>
  <c r="T70" i="3" s="1"/>
  <c r="S29" i="3"/>
  <c r="S70" i="3" s="1"/>
  <c r="R29" i="3"/>
  <c r="Q29" i="3"/>
  <c r="Q70" i="3" s="1"/>
  <c r="P29" i="3"/>
  <c r="P70" i="3" s="1"/>
  <c r="O29" i="3"/>
  <c r="O70" i="3" s="1"/>
  <c r="N33" i="3"/>
  <c r="N32" i="3"/>
  <c r="N31" i="3"/>
  <c r="N30" i="3"/>
  <c r="N29" i="3"/>
  <c r="L35" i="3"/>
  <c r="V74" i="3"/>
  <c r="U74" i="3"/>
  <c r="T74" i="3"/>
  <c r="S74" i="3"/>
  <c r="R74" i="3"/>
  <c r="N74" i="3"/>
  <c r="U72" i="3"/>
  <c r="T72" i="3"/>
  <c r="S72" i="3"/>
  <c r="R72" i="3"/>
  <c r="Q72" i="3"/>
  <c r="N72" i="3"/>
  <c r="R71" i="3"/>
  <c r="N70" i="3"/>
  <c r="R70" i="3" l="1"/>
  <c r="P72" i="3"/>
  <c r="R73" i="3"/>
  <c r="S71" i="3"/>
  <c r="Q73" i="3"/>
  <c r="T71" i="3"/>
  <c r="T76" i="3" s="1"/>
  <c r="U71" i="3"/>
  <c r="S73" i="3"/>
  <c r="S76" i="3"/>
  <c r="S84" i="3" s="1"/>
  <c r="R76" i="3"/>
  <c r="R78" i="3" s="1"/>
  <c r="U76" i="3"/>
  <c r="U87" i="3"/>
  <c r="U78" i="3"/>
  <c r="U84" i="3"/>
  <c r="V76" i="3"/>
  <c r="W76" i="3"/>
  <c r="N76" i="3"/>
  <c r="O76" i="3"/>
  <c r="P76" i="3"/>
  <c r="Q76" i="3"/>
  <c r="R87" i="3" l="1"/>
  <c r="R84" i="3"/>
  <c r="S78" i="3"/>
  <c r="S87" i="3"/>
  <c r="Q84" i="3"/>
  <c r="Q87" i="3"/>
  <c r="Q78" i="3"/>
  <c r="O84" i="3"/>
  <c r="O87" i="3"/>
  <c r="O78" i="3"/>
  <c r="T87" i="3"/>
  <c r="T78" i="3"/>
  <c r="T84" i="3"/>
  <c r="W87" i="3"/>
  <c r="W78" i="3"/>
  <c r="W84" i="3"/>
  <c r="P84" i="3"/>
  <c r="P87" i="3"/>
  <c r="P78" i="3"/>
  <c r="N84" i="3"/>
  <c r="N87" i="3"/>
  <c r="N78" i="3"/>
  <c r="V87" i="3"/>
  <c r="V78" i="3"/>
  <c r="V8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<sst xmlns="http://schemas.openxmlformats.org/spreadsheetml/2006/main" count="219" uniqueCount="85">
  <si>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</si>
  <si>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</si>
  <si>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</si>
  <si>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</si>
  <si>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</si>
  <si>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</si>
  <si>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</si>
  <si>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</si>
  <si>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</si>
  <si>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5:08:56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</si>
  <si>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</si>
  <si>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</si>
  <si>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</si>
  <si>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</si>
  <si>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</si>
  <si>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</si>
  <si>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</si>
  <si>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</si>
  <si>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</si>
  <si>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</si>
  <si>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</si>
  <si>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</si>
  <si>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</si>
  <si>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</si>
  <si>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</si>
  <si>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</si>
  <si>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</si>
  <si>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</si>
  <si>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</si>
  <si>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</si>
  <si>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</si>
  <si>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</si>
  <si>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</si>
  <si>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9/27/2025 5:09:02 PM</t>
  </si>
  <si>
    <t>Temperature: 26.8 °C</t>
  </si>
  <si>
    <t>&lt;&gt;</t>
  </si>
  <si>
    <t>B</t>
  </si>
  <si>
    <t>C</t>
  </si>
  <si>
    <t>D</t>
  </si>
  <si>
    <t>E</t>
  </si>
  <si>
    <t>F</t>
  </si>
  <si>
    <t>End Time:</t>
  </si>
  <si>
    <t>9/27/2025 5:09:27 PM</t>
  </si>
  <si>
    <t>Error:</t>
  </si>
  <si>
    <t xml:space="preserve">Command: "CHECK MTP.STEPLOSS"  Returned answer: "ERR044: Y-Trans at module MTP lost steps abs(8)&gt;3"  </t>
  </si>
  <si>
    <t>Fluorescence</t>
  </si>
  <si>
    <t>5:10:00 PM</t>
  </si>
  <si>
    <t>9/27/2025 5:10:05 PM</t>
  </si>
  <si>
    <t>9/27/2025 5:10:32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</si>
  <si>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</si>
  <si>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</si>
  <si>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</si>
  <si>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</si>
  <si>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</si>
  <si>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</si>
  <si>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</si>
  <si>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</si>
  <si>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</si>
  <si>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</si>
  <si>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</si>
  <si>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</si>
  <si>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</si>
  <si>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9/27/2025 5:10:36 PM</t>
  </si>
  <si>
    <t>Temperature: 26.9 °C</t>
  </si>
  <si>
    <t>9/27/2025 5:11:25 PM</t>
  </si>
  <si>
    <t>Label: gfp 80</t>
  </si>
  <si>
    <t>9/27/2025 5:11:32 PM</t>
  </si>
  <si>
    <t>9/27/2025 5:12:20 PM</t>
  </si>
  <si>
    <t>Label: gfp100</t>
  </si>
  <si>
    <t>9/27/2025 5:12:28 PM</t>
  </si>
  <si>
    <t>9/27/2025 5:13:16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</si>
  <si>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</si>
  <si>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</si>
  <si>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</si>
  <si>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</si>
  <si>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</si>
  <si>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</si>
  <si>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</si>
  <si>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</si>
  <si>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</si>
  <si>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D12</t>
  </si>
  <si>
    <t>D7</t>
  </si>
  <si>
    <t>D16/D1</t>
  </si>
  <si>
    <t>D16/D12</t>
  </si>
  <si>
    <t>D16/D7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</si>
</sst>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2" borderId="0" xfId="0" applyFill="1"/>
    <xf numFmtId="0" fontId="1" fillId="6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7" zoomScale="107" workbookViewId="0">
      <selection activeCell="M87" sqref="M87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45927</v>
      </c>
    </row>
    <row r="6" spans="1:12" x14ac:dyDescent="0.2">
      <c r="A6" t="s">
        <v>8</v>
      </c>
      <c r="B6" s="2" t="s">
        <v>46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47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1.0858999490737915</v>
      </c>
      <c r="C29">
        <v>1.1324000358581543</v>
      </c>
      <c r="D29">
        <v>1.100100040435791</v>
      </c>
      <c r="E29">
        <v>1.1095999479293823</v>
      </c>
      <c r="F29">
        <v>1.090999960899353</v>
      </c>
      <c r="G29">
        <v>1.1082999706268311</v>
      </c>
      <c r="H29">
        <v>1.0191999673843384</v>
      </c>
      <c r="I29">
        <v>1.1863000392913818</v>
      </c>
      <c r="J29">
        <v>1.0961999893188477</v>
      </c>
      <c r="K29">
        <v>0.8554999828338623</v>
      </c>
      <c r="L29">
        <v>3.9799999445676804E-2</v>
      </c>
      <c r="N29">
        <f>B29-0.04</f>
        <v>1.0458999490737915</v>
      </c>
      <c r="O29">
        <f t="shared" ref="O29:O33" si="0">C29-0.04</f>
        <v>1.0924000358581543</v>
      </c>
      <c r="P29">
        <f t="shared" ref="P29:P33" si="1">D29-0.04</f>
        <v>1.060100040435791</v>
      </c>
      <c r="Q29">
        <f t="shared" ref="Q29:Q33" si="2">E29-0.04</f>
        <v>1.0695999479293823</v>
      </c>
      <c r="R29">
        <f t="shared" ref="R29:R33" si="3">F29-0.04</f>
        <v>1.050999960899353</v>
      </c>
      <c r="S29">
        <f t="shared" ref="S29:S33" si="4">G29-0.04</f>
        <v>1.068299970626831</v>
      </c>
      <c r="T29">
        <f t="shared" ref="T29:T33" si="5">H29-0.04</f>
        <v>0.97919996738433834</v>
      </c>
      <c r="U29">
        <f t="shared" ref="U29:U33" si="6">I29-0.04</f>
        <v>1.1463000392913818</v>
      </c>
      <c r="V29">
        <f t="shared" ref="V29:V33" si="7">J29-0.04</f>
        <v>1.0561999893188476</v>
      </c>
      <c r="W29">
        <f t="shared" ref="W29:W33" si="8">K29-0.04</f>
        <v>0.81549998283386227</v>
      </c>
    </row>
    <row r="30" spans="1:23" x14ac:dyDescent="0.2">
      <c r="A30" s="4" t="s">
        <v>37</v>
      </c>
      <c r="B30">
        <v>1.0369000434875488</v>
      </c>
      <c r="C30">
        <v>1.1019999980926514</v>
      </c>
      <c r="D30">
        <v>1.1260000467300415</v>
      </c>
      <c r="E30">
        <v>1.0966999530792236</v>
      </c>
      <c r="F30">
        <v>1.1177999973297119</v>
      </c>
      <c r="G30">
        <v>1.1023999452590942</v>
      </c>
      <c r="H30">
        <v>1.0986000299453735</v>
      </c>
      <c r="I30">
        <v>1.1576000452041626</v>
      </c>
      <c r="J30">
        <v>1.163100004196167</v>
      </c>
      <c r="K30">
        <v>1.1632000207901001</v>
      </c>
      <c r="L30">
        <v>3.9400000125169754E-2</v>
      </c>
      <c r="N30">
        <f t="shared" ref="N30:N33" si="9">B30-0.04</f>
        <v>0.99690004348754879</v>
      </c>
      <c r="O30">
        <f t="shared" si="0"/>
        <v>1.0619999980926513</v>
      </c>
      <c r="P30">
        <f t="shared" si="1"/>
        <v>1.0860000467300415</v>
      </c>
      <c r="Q30">
        <f t="shared" si="2"/>
        <v>1.0566999530792236</v>
      </c>
      <c r="R30">
        <f t="shared" si="3"/>
        <v>1.0777999973297119</v>
      </c>
      <c r="S30">
        <f t="shared" si="4"/>
        <v>1.0623999452590942</v>
      </c>
      <c r="T30">
        <f t="shared" si="5"/>
        <v>1.0586000299453735</v>
      </c>
      <c r="U30">
        <f t="shared" si="6"/>
        <v>1.1176000452041626</v>
      </c>
      <c r="V30">
        <f t="shared" si="7"/>
        <v>1.123100004196167</v>
      </c>
      <c r="W30">
        <f t="shared" si="8"/>
        <v>1.1232000207901001</v>
      </c>
    </row>
    <row r="31" spans="1:23" x14ac:dyDescent="0.2">
      <c r="A31" s="4" t="s">
        <v>38</v>
      </c>
      <c r="B31">
        <v>1.1445000171661377</v>
      </c>
      <c r="C31">
        <v>1.1174999475479126</v>
      </c>
      <c r="D31">
        <v>1.1366000175476074</v>
      </c>
      <c r="E31">
        <v>0.93229997158050537</v>
      </c>
      <c r="F31">
        <v>1.104699969291687</v>
      </c>
      <c r="G31">
        <v>1.1906000375747681</v>
      </c>
      <c r="H31">
        <v>1.1081000566482544</v>
      </c>
      <c r="I31">
        <v>1.1542999744415283</v>
      </c>
      <c r="J31">
        <v>1.0856000185012817</v>
      </c>
      <c r="K31">
        <v>1.0913000106811523</v>
      </c>
      <c r="L31">
        <v>3.9599999785423279E-2</v>
      </c>
      <c r="N31">
        <f t="shared" si="9"/>
        <v>1.1045000171661377</v>
      </c>
      <c r="O31">
        <f t="shared" si="0"/>
        <v>1.0774999475479126</v>
      </c>
      <c r="P31">
        <f t="shared" si="1"/>
        <v>1.0966000175476074</v>
      </c>
      <c r="Q31">
        <f t="shared" si="2"/>
        <v>0.89229997158050534</v>
      </c>
      <c r="R31">
        <f t="shared" si="3"/>
        <v>1.064699969291687</v>
      </c>
      <c r="S31">
        <f t="shared" si="4"/>
        <v>1.150600037574768</v>
      </c>
      <c r="T31">
        <f t="shared" si="5"/>
        <v>1.0681000566482544</v>
      </c>
      <c r="U31">
        <f t="shared" si="6"/>
        <v>1.1142999744415283</v>
      </c>
      <c r="V31">
        <f t="shared" si="7"/>
        <v>1.0456000185012817</v>
      </c>
      <c r="W31">
        <f t="shared" si="8"/>
        <v>1.0513000106811523</v>
      </c>
    </row>
    <row r="32" spans="1:23" x14ac:dyDescent="0.2">
      <c r="A32" s="4" t="s">
        <v>39</v>
      </c>
      <c r="B32">
        <v>1.0951999425888062</v>
      </c>
      <c r="C32">
        <v>1.1483999490737915</v>
      </c>
      <c r="D32">
        <v>1.111299991607666</v>
      </c>
      <c r="E32">
        <v>1.0037000179290771</v>
      </c>
      <c r="F32">
        <v>1.0568000078201294</v>
      </c>
      <c r="G32">
        <v>1.1016000509262085</v>
      </c>
      <c r="H32">
        <v>1.1682000160217285</v>
      </c>
      <c r="I32">
        <v>1.0999000072479248</v>
      </c>
      <c r="J32">
        <v>1.1154999732971191</v>
      </c>
      <c r="K32">
        <v>1.0806000232696533</v>
      </c>
      <c r="L32">
        <v>4.4500000774860382E-2</v>
      </c>
      <c r="N32">
        <f t="shared" si="9"/>
        <v>1.0551999425888061</v>
      </c>
      <c r="O32">
        <f t="shared" si="0"/>
        <v>1.1083999490737915</v>
      </c>
      <c r="P32">
        <f t="shared" si="1"/>
        <v>1.071299991607666</v>
      </c>
      <c r="Q32">
        <f t="shared" si="2"/>
        <v>0.96370001792907711</v>
      </c>
      <c r="R32">
        <f t="shared" si="3"/>
        <v>1.0168000078201294</v>
      </c>
      <c r="S32">
        <f t="shared" si="4"/>
        <v>1.0616000509262085</v>
      </c>
      <c r="T32">
        <f t="shared" si="5"/>
        <v>1.1282000160217285</v>
      </c>
      <c r="U32">
        <f t="shared" si="6"/>
        <v>1.0599000072479248</v>
      </c>
      <c r="V32">
        <f t="shared" si="7"/>
        <v>1.0754999732971191</v>
      </c>
      <c r="W32">
        <f t="shared" si="8"/>
        <v>1.0406000232696533</v>
      </c>
    </row>
    <row r="33" spans="1:23" x14ac:dyDescent="0.2">
      <c r="A33" s="4" t="s">
        <v>40</v>
      </c>
      <c r="B33">
        <v>1.0092999935150146</v>
      </c>
      <c r="C33">
        <v>0.86460000276565552</v>
      </c>
      <c r="D33">
        <v>1.0753999948501587</v>
      </c>
      <c r="E33">
        <v>0.99199998378753662</v>
      </c>
      <c r="F33">
        <v>1.1309000253677368</v>
      </c>
      <c r="G33">
        <v>1.0370999574661255</v>
      </c>
      <c r="H33">
        <v>1.1270999908447266</v>
      </c>
      <c r="I33">
        <v>1.0785000324249268</v>
      </c>
      <c r="J33">
        <v>1.0025999546051025</v>
      </c>
      <c r="K33">
        <v>1.0735000371932983</v>
      </c>
      <c r="L33">
        <v>4.4500000774860382E-2</v>
      </c>
      <c r="N33">
        <f t="shared" si="9"/>
        <v>0.96929999351501461</v>
      </c>
      <c r="O33">
        <f t="shared" si="0"/>
        <v>0.82460000276565548</v>
      </c>
      <c r="P33">
        <f t="shared" si="1"/>
        <v>1.0353999948501587</v>
      </c>
      <c r="Q33">
        <f t="shared" si="2"/>
        <v>0.95199998378753659</v>
      </c>
      <c r="R33">
        <f t="shared" si="3"/>
        <v>1.0909000253677368</v>
      </c>
      <c r="S33">
        <f t="shared" si="4"/>
        <v>0.99709995746612545</v>
      </c>
      <c r="T33">
        <f t="shared" si="5"/>
        <v>1.0870999908447265</v>
      </c>
      <c r="U33">
        <f t="shared" si="6"/>
        <v>1.0385000324249267</v>
      </c>
      <c r="V33">
        <f t="shared" si="7"/>
        <v>0.9625999546051025</v>
      </c>
      <c r="W33">
        <f t="shared" si="8"/>
        <v>1.0335000371932983</v>
      </c>
    </row>
    <row r="35" spans="1:23" x14ac:dyDescent="0.2">
      <c r="L35">
        <f>AVERAGE(L29:L31)</f>
        <v>3.9599999785423279E-2</v>
      </c>
    </row>
    <row r="38" spans="1:23" x14ac:dyDescent="0.2">
      <c r="A38" t="s">
        <v>41</v>
      </c>
      <c r="B38" s="2" t="s">
        <v>48</v>
      </c>
    </row>
    <row r="43" spans="1:23" x14ac:dyDescent="0.2">
      <c r="A43" t="s">
        <v>49</v>
      </c>
    </row>
    <row r="44" spans="1:23" x14ac:dyDescent="0.2">
      <c r="A44" t="s">
        <v>22</v>
      </c>
      <c r="E44" t="s">
        <v>50</v>
      </c>
    </row>
    <row r="45" spans="1:23" x14ac:dyDescent="0.2">
      <c r="A45" t="s">
        <v>51</v>
      </c>
      <c r="E45">
        <v>488</v>
      </c>
      <c r="F45" t="s">
        <v>25</v>
      </c>
    </row>
    <row r="46" spans="1:23" x14ac:dyDescent="0.2">
      <c r="A46" t="s">
        <v>52</v>
      </c>
      <c r="E46">
        <v>520</v>
      </c>
      <c r="F46" t="s">
        <v>25</v>
      </c>
    </row>
    <row r="47" spans="1:23" x14ac:dyDescent="0.2">
      <c r="A47" t="s">
        <v>53</v>
      </c>
      <c r="E47">
        <v>9</v>
      </c>
      <c r="F47" t="s">
        <v>25</v>
      </c>
    </row>
    <row r="48" spans="1:23" x14ac:dyDescent="0.2">
      <c r="A48" t="s">
        <v>54</v>
      </c>
      <c r="E48">
        <v>20</v>
      </c>
      <c r="F48" t="s">
        <v>25</v>
      </c>
    </row>
    <row r="49" spans="1:12" x14ac:dyDescent="0.2">
      <c r="A49" t="s">
        <v>55</v>
      </c>
      <c r="E49">
        <v>50</v>
      </c>
      <c r="F49" t="s">
        <v>56</v>
      </c>
    </row>
    <row r="50" spans="1:12" x14ac:dyDescent="0.2">
      <c r="A50" t="s">
        <v>27</v>
      </c>
      <c r="E50">
        <v>25</v>
      </c>
    </row>
    <row r="51" spans="1:12" x14ac:dyDescent="0.2">
      <c r="A51" t="s">
        <v>57</v>
      </c>
      <c r="E51">
        <v>20</v>
      </c>
      <c r="F51" t="s">
        <v>58</v>
      </c>
    </row>
    <row r="52" spans="1:12" x14ac:dyDescent="0.2">
      <c r="A52" t="s">
        <v>59</v>
      </c>
      <c r="E52">
        <v>0</v>
      </c>
      <c r="F52" t="s">
        <v>58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60</v>
      </c>
      <c r="E54">
        <v>20000</v>
      </c>
      <c r="F54" t="s">
        <v>61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62</v>
      </c>
    </row>
    <row r="58" spans="1:12" x14ac:dyDescent="0.2">
      <c r="B58" t="s">
        <v>63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82</v>
      </c>
      <c r="C60">
        <v>432</v>
      </c>
      <c r="D60">
        <v>198</v>
      </c>
      <c r="E60">
        <v>303</v>
      </c>
      <c r="F60">
        <v>114</v>
      </c>
      <c r="G60">
        <v>88</v>
      </c>
      <c r="H60">
        <v>365</v>
      </c>
      <c r="I60">
        <v>229</v>
      </c>
      <c r="J60">
        <v>267</v>
      </c>
      <c r="K60">
        <v>89</v>
      </c>
      <c r="L60">
        <v>56</v>
      </c>
    </row>
    <row r="61" spans="1:12" x14ac:dyDescent="0.2">
      <c r="A61" s="4" t="s">
        <v>37</v>
      </c>
      <c r="B61">
        <v>83</v>
      </c>
      <c r="C61">
        <v>436</v>
      </c>
      <c r="D61">
        <v>220</v>
      </c>
      <c r="E61">
        <v>352</v>
      </c>
      <c r="F61">
        <v>122</v>
      </c>
      <c r="G61">
        <v>90</v>
      </c>
      <c r="H61">
        <v>391</v>
      </c>
      <c r="I61">
        <v>240</v>
      </c>
      <c r="J61">
        <v>263</v>
      </c>
      <c r="K61">
        <v>118</v>
      </c>
      <c r="L61">
        <v>56</v>
      </c>
    </row>
    <row r="62" spans="1:12" x14ac:dyDescent="0.2">
      <c r="A62" s="4" t="s">
        <v>38</v>
      </c>
      <c r="B62">
        <v>87</v>
      </c>
      <c r="C62">
        <v>440</v>
      </c>
      <c r="D62">
        <v>250</v>
      </c>
      <c r="E62">
        <v>256</v>
      </c>
      <c r="F62">
        <v>121</v>
      </c>
      <c r="G62">
        <v>93</v>
      </c>
      <c r="H62">
        <v>397</v>
      </c>
      <c r="I62">
        <v>234</v>
      </c>
      <c r="J62">
        <v>263</v>
      </c>
      <c r="K62">
        <v>116</v>
      </c>
      <c r="L62">
        <v>56</v>
      </c>
    </row>
    <row r="63" spans="1:12" x14ac:dyDescent="0.2">
      <c r="A63" s="4" t="s">
        <v>39</v>
      </c>
      <c r="B63">
        <v>93</v>
      </c>
      <c r="C63">
        <v>474</v>
      </c>
      <c r="D63">
        <v>195</v>
      </c>
      <c r="E63">
        <v>351</v>
      </c>
      <c r="F63">
        <v>116</v>
      </c>
      <c r="G63">
        <v>96</v>
      </c>
      <c r="H63">
        <v>411</v>
      </c>
      <c r="I63">
        <v>244</v>
      </c>
      <c r="J63">
        <v>256</v>
      </c>
      <c r="K63">
        <v>121</v>
      </c>
      <c r="L63">
        <v>8</v>
      </c>
    </row>
    <row r="64" spans="1:12" x14ac:dyDescent="0.2">
      <c r="A64" s="4" t="s">
        <v>40</v>
      </c>
      <c r="B64">
        <v>93</v>
      </c>
      <c r="C64">
        <v>275</v>
      </c>
      <c r="D64">
        <v>194</v>
      </c>
      <c r="E64">
        <v>253</v>
      </c>
      <c r="F64">
        <v>119</v>
      </c>
      <c r="G64">
        <v>91</v>
      </c>
      <c r="H64">
        <v>401</v>
      </c>
      <c r="I64">
        <v>228</v>
      </c>
      <c r="J64">
        <v>252</v>
      </c>
      <c r="K64">
        <v>112</v>
      </c>
      <c r="L64">
        <v>7</v>
      </c>
    </row>
    <row r="67" spans="1:23" x14ac:dyDescent="0.2">
      <c r="N67" s="20" t="s">
        <v>71</v>
      </c>
      <c r="O67" s="20"/>
      <c r="P67" s="20"/>
      <c r="Q67" s="20"/>
      <c r="R67" t="s">
        <v>72</v>
      </c>
      <c r="S67" s="20" t="s">
        <v>71</v>
      </c>
      <c r="T67" s="20"/>
      <c r="U67" s="20"/>
      <c r="V67" s="20"/>
      <c r="W67" t="s">
        <v>72</v>
      </c>
    </row>
    <row r="68" spans="1:23" x14ac:dyDescent="0.2">
      <c r="N68" s="20" t="s">
        <v>73</v>
      </c>
      <c r="O68" s="20"/>
      <c r="P68" s="20"/>
      <c r="Q68" s="20"/>
      <c r="R68" s="20"/>
      <c r="S68" s="20" t="s">
        <v>74</v>
      </c>
      <c r="T68" s="20"/>
      <c r="U68" s="20"/>
      <c r="V68" s="20"/>
      <c r="W68" s="20"/>
    </row>
    <row r="69" spans="1:23" ht="16" thickBot="1" x14ac:dyDescent="0.25">
      <c r="A69" t="s">
        <v>41</v>
      </c>
      <c r="B69" s="2" t="s">
        <v>64</v>
      </c>
      <c r="N69" t="s">
        <v>75</v>
      </c>
      <c r="O69" t="s">
        <v>76</v>
      </c>
      <c r="P69" t="s">
        <v>77</v>
      </c>
      <c r="Q69" t="s">
        <v>78</v>
      </c>
      <c r="R69" t="s">
        <v>79</v>
      </c>
      <c r="S69" t="s">
        <v>75</v>
      </c>
      <c r="T69" t="s">
        <v>76</v>
      </c>
      <c r="U69" t="s">
        <v>77</v>
      </c>
      <c r="V69" t="s">
        <v>78</v>
      </c>
      <c r="W69" t="s">
        <v>79</v>
      </c>
    </row>
    <row r="70" spans="1:23" x14ac:dyDescent="0.2">
      <c r="N70" s="7">
        <f>N91/N29</f>
        <v>405.39250468027848</v>
      </c>
      <c r="O70" s="8">
        <f t="shared" ref="O70:W70" si="10">O91/O29</f>
        <v>9534.9685628832176</v>
      </c>
      <c r="P70" s="8">
        <f t="shared" si="10"/>
        <v>3510.0460881695217</v>
      </c>
      <c r="Q70" s="8">
        <f t="shared" si="10"/>
        <v>6327.5994105104801</v>
      </c>
      <c r="R70" s="9">
        <f t="shared" si="10"/>
        <v>1248.334965566798</v>
      </c>
      <c r="S70" s="7">
        <f t="shared" si="10"/>
        <v>562.57607088331179</v>
      </c>
      <c r="T70" s="8">
        <f t="shared" si="10"/>
        <v>8720.3842773908327</v>
      </c>
      <c r="U70" s="8">
        <f t="shared" si="10"/>
        <v>4032.1031506351701</v>
      </c>
      <c r="V70" s="8">
        <f t="shared" si="10"/>
        <v>5370.1950931261808</v>
      </c>
      <c r="W70" s="9">
        <f t="shared" si="10"/>
        <v>744.32864840864272</v>
      </c>
    </row>
    <row r="71" spans="1:23" x14ac:dyDescent="0.2">
      <c r="N71" s="10">
        <f t="shared" ref="N71:W74" si="11">N92/N30</f>
        <v>410.27182481521118</v>
      </c>
      <c r="O71">
        <f t="shared" si="11"/>
        <v>9804.1431437852352</v>
      </c>
      <c r="P71">
        <f t="shared" si="11"/>
        <v>3952.1176936624092</v>
      </c>
      <c r="Q71">
        <f t="shared" si="11"/>
        <v>7655.9102481510863</v>
      </c>
      <c r="R71" s="11">
        <f t="shared" si="11"/>
        <v>1421.4139949856976</v>
      </c>
      <c r="S71" s="10">
        <f t="shared" si="11"/>
        <v>613.70485089868168</v>
      </c>
      <c r="T71">
        <f t="shared" si="11"/>
        <v>8691.667995205702</v>
      </c>
      <c r="U71">
        <f t="shared" si="11"/>
        <v>4357.5517206697596</v>
      </c>
      <c r="V71">
        <f t="shared" si="11"/>
        <v>4924.7618015625294</v>
      </c>
      <c r="W71" s="11">
        <f t="shared" si="11"/>
        <v>1273.1481245825526</v>
      </c>
    </row>
    <row r="72" spans="1:23" x14ac:dyDescent="0.2">
      <c r="N72" s="10">
        <f t="shared" si="11"/>
        <v>485.28745284697942</v>
      </c>
      <c r="O72">
        <f t="shared" si="11"/>
        <v>9777.2626569260665</v>
      </c>
      <c r="P72">
        <f t="shared" si="11"/>
        <v>4679.9196770733242</v>
      </c>
      <c r="Q72">
        <f t="shared" si="11"/>
        <v>5956.5170562380417</v>
      </c>
      <c r="R72" s="11">
        <f t="shared" si="11"/>
        <v>1401.3337494435948</v>
      </c>
      <c r="S72" s="10">
        <f t="shared" si="11"/>
        <v>631.84423453728448</v>
      </c>
      <c r="T72">
        <f t="shared" si="11"/>
        <v>8707.985681778684</v>
      </c>
      <c r="U72">
        <f t="shared" si="11"/>
        <v>4239.4329250232668</v>
      </c>
      <c r="V72">
        <f t="shared" si="11"/>
        <v>5283.0909547207784</v>
      </c>
      <c r="W72" s="11">
        <f t="shared" si="11"/>
        <v>1304.0996728533366</v>
      </c>
    </row>
    <row r="73" spans="1:23" x14ac:dyDescent="0.2">
      <c r="N73" s="10">
        <f t="shared" si="11"/>
        <v>645.37531941979489</v>
      </c>
      <c r="O73">
        <f t="shared" si="11"/>
        <v>10434.86154042578</v>
      </c>
      <c r="P73">
        <f t="shared" si="11"/>
        <v>3354.8026025899599</v>
      </c>
      <c r="Q73">
        <f t="shared" si="11"/>
        <v>8318.9787805835713</v>
      </c>
      <c r="R73" s="11">
        <f t="shared" si="11"/>
        <v>1337.5294940404665</v>
      </c>
      <c r="S73" s="10">
        <f t="shared" si="11"/>
        <v>765.82513281785009</v>
      </c>
      <c r="T73">
        <f t="shared" si="11"/>
        <v>8650.061922895813</v>
      </c>
      <c r="U73">
        <f t="shared" si="11"/>
        <v>4699.4999206891007</v>
      </c>
      <c r="V73">
        <f t="shared" si="11"/>
        <v>4977.2200212981061</v>
      </c>
      <c r="W73" s="11">
        <f t="shared" si="11"/>
        <v>1460.6957197867741</v>
      </c>
    </row>
    <row r="74" spans="1:23" ht="16" thickBot="1" x14ac:dyDescent="0.25">
      <c r="A74" t="s">
        <v>65</v>
      </c>
      <c r="N74" s="12">
        <f t="shared" si="11"/>
        <v>736.61405630551053</v>
      </c>
      <c r="O74" s="13">
        <f t="shared" si="11"/>
        <v>7097.9868789345301</v>
      </c>
      <c r="P74" s="13">
        <f t="shared" si="11"/>
        <v>3448.9086514982928</v>
      </c>
      <c r="Q74" s="13">
        <f t="shared" si="11"/>
        <v>5558.823624077967</v>
      </c>
      <c r="R74" s="14">
        <f t="shared" si="11"/>
        <v>1330.0943865235272</v>
      </c>
      <c r="S74" s="12">
        <f t="shared" si="11"/>
        <v>671.94867975186128</v>
      </c>
      <c r="T74" s="13">
        <f t="shared" si="11"/>
        <v>8749.8850888672532</v>
      </c>
      <c r="U74" s="13">
        <f t="shared" si="11"/>
        <v>4391.9112735605186</v>
      </c>
      <c r="V74" s="13">
        <f t="shared" si="11"/>
        <v>5441.5128267368764</v>
      </c>
      <c r="W74" s="14">
        <f t="shared" si="11"/>
        <v>1213.3526413850152</v>
      </c>
    </row>
    <row r="75" spans="1:23" x14ac:dyDescent="0.2">
      <c r="A75" t="s">
        <v>22</v>
      </c>
      <c r="E75" t="s">
        <v>50</v>
      </c>
    </row>
    <row r="76" spans="1:23" x14ac:dyDescent="0.2">
      <c r="A76" t="s">
        <v>51</v>
      </c>
      <c r="E76">
        <v>488</v>
      </c>
      <c r="F76" t="s">
        <v>25</v>
      </c>
      <c r="N76">
        <f t="shared" ref="N76:W76" si="12">AVERAGE(N70:N74)</f>
        <v>536.58823161355497</v>
      </c>
      <c r="O76">
        <f t="shared" si="12"/>
        <v>9329.844556590966</v>
      </c>
      <c r="P76">
        <f t="shared" si="12"/>
        <v>3789.1589425987013</v>
      </c>
      <c r="Q76">
        <f t="shared" si="12"/>
        <v>6763.5658239122295</v>
      </c>
      <c r="R76">
        <f t="shared" si="12"/>
        <v>1347.7413181120169</v>
      </c>
      <c r="S76">
        <f t="shared" si="12"/>
        <v>649.17979377779795</v>
      </c>
      <c r="T76">
        <f t="shared" si="12"/>
        <v>8703.9969932276563</v>
      </c>
      <c r="U76">
        <f t="shared" si="12"/>
        <v>4344.0997981155633</v>
      </c>
      <c r="V76">
        <f t="shared" si="12"/>
        <v>5199.3561394888948</v>
      </c>
      <c r="W76">
        <f t="shared" si="12"/>
        <v>1199.1249614032643</v>
      </c>
    </row>
    <row r="77" spans="1:23" x14ac:dyDescent="0.2">
      <c r="A77" t="s">
        <v>52</v>
      </c>
      <c r="E77">
        <v>520</v>
      </c>
      <c r="F77" t="s">
        <v>25</v>
      </c>
    </row>
    <row r="78" spans="1:23" x14ac:dyDescent="0.2">
      <c r="A78" t="s">
        <v>53</v>
      </c>
      <c r="E78">
        <v>9</v>
      </c>
      <c r="F78" t="s">
        <v>25</v>
      </c>
      <c r="M78" t="s">
        <v>82</v>
      </c>
      <c r="N78" s="15">
        <f>N76/974</f>
        <v>0.55091194210837269</v>
      </c>
      <c r="O78" s="16">
        <f>O76/10336</f>
        <v>0.90265523960825911</v>
      </c>
      <c r="P78" s="16">
        <f>P76/16798</f>
        <v>0.22557202896765693</v>
      </c>
      <c r="Q78" s="16">
        <f>Q76/40900</f>
        <v>0.16536835755286625</v>
      </c>
      <c r="R78" s="15">
        <f>R76/1809</f>
        <v>0.7450200763471625</v>
      </c>
      <c r="S78">
        <f>S76/895</f>
        <v>0.72534055170703682</v>
      </c>
      <c r="T78" s="16">
        <f>T76/10832</f>
        <v>0.80354477411629033</v>
      </c>
      <c r="U78" s="16">
        <f>U76/17626</f>
        <v>0.24645976387810981</v>
      </c>
      <c r="V78" s="16">
        <f>V76/52231</f>
        <v>9.9545406740994713E-2</v>
      </c>
      <c r="W78">
        <f>W76/1938</f>
        <v>0.61874353013584327</v>
      </c>
    </row>
    <row r="79" spans="1:23" x14ac:dyDescent="0.2">
      <c r="A79" t="s">
        <v>54</v>
      </c>
      <c r="E79">
        <v>20</v>
      </c>
      <c r="F79" t="s">
        <v>25</v>
      </c>
      <c r="N79" s="15"/>
      <c r="O79" s="16"/>
      <c r="P79" s="16"/>
      <c r="Q79" s="16"/>
      <c r="R79" s="15"/>
      <c r="T79" s="16"/>
      <c r="U79" s="16"/>
      <c r="V79" s="16"/>
    </row>
    <row r="80" spans="1:23" x14ac:dyDescent="0.2">
      <c r="A80" t="s">
        <v>55</v>
      </c>
      <c r="E80">
        <v>80</v>
      </c>
      <c r="F80" t="s">
        <v>56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57</v>
      </c>
      <c r="E82">
        <v>20</v>
      </c>
      <c r="F82" t="s">
        <v>58</v>
      </c>
    </row>
    <row r="83" spans="1:23" x14ac:dyDescent="0.2">
      <c r="A83" t="s">
        <v>59</v>
      </c>
      <c r="E83">
        <v>0</v>
      </c>
      <c r="F83" t="s">
        <v>58</v>
      </c>
      <c r="M83" t="s">
        <v>80</v>
      </c>
      <c r="N83">
        <v>884.30419678949022</v>
      </c>
      <c r="O83">
        <v>9467.1119959733023</v>
      </c>
      <c r="P83">
        <v>4292.0614771064074</v>
      </c>
      <c r="Q83">
        <v>3200.6581217613343</v>
      </c>
      <c r="R83">
        <v>1641.5480265932845</v>
      </c>
      <c r="S83">
        <v>1014.4985142969326</v>
      </c>
      <c r="T83">
        <v>6540.8131678551936</v>
      </c>
      <c r="U83">
        <v>3326.0919975396782</v>
      </c>
      <c r="V83">
        <v>1689.8628387652054</v>
      </c>
      <c r="W83">
        <v>1545.5791580880066</v>
      </c>
    </row>
    <row r="84" spans="1:23" x14ac:dyDescent="0.2">
      <c r="A84" t="s">
        <v>28</v>
      </c>
      <c r="E84">
        <v>0</v>
      </c>
      <c r="F84" t="s">
        <v>29</v>
      </c>
      <c r="M84" t="s">
        <v>83</v>
      </c>
      <c r="N84">
        <f>N76/N83</f>
        <v>0.60679145656174072</v>
      </c>
      <c r="O84" s="15">
        <f t="shared" ref="O84:W84" si="13">O76/O83</f>
        <v>0.98550060045336729</v>
      </c>
      <c r="P84" s="15">
        <f t="shared" si="13"/>
        <v>0.88282960596204008</v>
      </c>
      <c r="Q84" s="15">
        <f>Q76/Q83</f>
        <v>2.113179716985897</v>
      </c>
      <c r="R84">
        <f t="shared" si="13"/>
        <v>0.82101851196458342</v>
      </c>
      <c r="S84">
        <f t="shared" si="13"/>
        <v>0.63990216311720505</v>
      </c>
      <c r="T84" s="15">
        <f t="shared" si="13"/>
        <v>1.3307209317647877</v>
      </c>
      <c r="U84" s="15">
        <f t="shared" si="13"/>
        <v>1.3060672408727447</v>
      </c>
      <c r="V84" s="15">
        <f>V76/V83</f>
        <v>3.076791808315106</v>
      </c>
      <c r="W84">
        <f t="shared" si="13"/>
        <v>0.77584182934160983</v>
      </c>
    </row>
    <row r="85" spans="1:23" x14ac:dyDescent="0.2">
      <c r="A85" t="s">
        <v>60</v>
      </c>
      <c r="E85">
        <v>20000</v>
      </c>
      <c r="F85" t="s">
        <v>61</v>
      </c>
    </row>
    <row r="86" spans="1:23" ht="16" thickBot="1" x14ac:dyDescent="0.25">
      <c r="A86" t="s">
        <v>30</v>
      </c>
      <c r="E86" t="s">
        <v>31</v>
      </c>
      <c r="M86" t="s">
        <v>81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32</v>
      </c>
      <c r="B87" s="2" t="s">
        <v>66</v>
      </c>
      <c r="M87" t="s">
        <v>84</v>
      </c>
      <c r="N87" s="17">
        <f>N76/N86</f>
        <v>0.40275371881361433</v>
      </c>
      <c r="O87" s="18">
        <f t="shared" ref="O87:W87" si="14">O76/O86</f>
        <v>0.76778747513554635</v>
      </c>
      <c r="P87" s="18">
        <f t="shared" si="14"/>
        <v>0.37954220505750336</v>
      </c>
      <c r="Q87" s="18">
        <f t="shared" si="14"/>
        <v>0.48291532505424911</v>
      </c>
      <c r="R87" s="19">
        <f t="shared" si="14"/>
        <v>0.59467500004636142</v>
      </c>
      <c r="S87" s="17">
        <f t="shared" si="14"/>
        <v>0.47742784127459964</v>
      </c>
      <c r="T87" s="18">
        <f t="shared" si="14"/>
        <v>0.68523207675671727</v>
      </c>
      <c r="U87" s="18">
        <f t="shared" si="14"/>
        <v>0.36464594628508035</v>
      </c>
      <c r="V87" s="18">
        <f t="shared" si="14"/>
        <v>0.43523942994874842</v>
      </c>
      <c r="W87" s="19">
        <f t="shared" si="14"/>
        <v>0.48708210163072185</v>
      </c>
    </row>
    <row r="89" spans="1:23" x14ac:dyDescent="0.2">
      <c r="B89" t="s">
        <v>63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2339</v>
      </c>
      <c r="C91">
        <v>12331</v>
      </c>
      <c r="D91">
        <v>5636</v>
      </c>
      <c r="E91">
        <v>8683</v>
      </c>
      <c r="F91">
        <v>3227</v>
      </c>
      <c r="G91">
        <v>2516</v>
      </c>
      <c r="H91">
        <v>10454</v>
      </c>
      <c r="I91">
        <v>6537</v>
      </c>
      <c r="J91">
        <v>7587</v>
      </c>
      <c r="K91">
        <v>2522</v>
      </c>
      <c r="L91" s="16">
        <v>1587</v>
      </c>
      <c r="N91">
        <f>B91-1915</f>
        <v>424</v>
      </c>
      <c r="O91">
        <f t="shared" ref="O91:W95" si="15">C91-1915</f>
        <v>10416</v>
      </c>
      <c r="P91">
        <f t="shared" si="15"/>
        <v>3721</v>
      </c>
      <c r="Q91">
        <f t="shared" si="15"/>
        <v>6768</v>
      </c>
      <c r="R91">
        <f t="shared" si="15"/>
        <v>1312</v>
      </c>
      <c r="S91">
        <f t="shared" si="15"/>
        <v>601</v>
      </c>
      <c r="T91">
        <f t="shared" si="15"/>
        <v>8539</v>
      </c>
      <c r="U91">
        <f t="shared" si="15"/>
        <v>4622</v>
      </c>
      <c r="V91">
        <f t="shared" si="15"/>
        <v>5672</v>
      </c>
      <c r="W91">
        <f t="shared" si="15"/>
        <v>607</v>
      </c>
    </row>
    <row r="92" spans="1:23" x14ac:dyDescent="0.2">
      <c r="A92" s="4" t="s">
        <v>37</v>
      </c>
      <c r="B92">
        <v>2324</v>
      </c>
      <c r="C92">
        <v>12327</v>
      </c>
      <c r="D92">
        <v>6207</v>
      </c>
      <c r="E92">
        <v>10005</v>
      </c>
      <c r="F92">
        <v>3447</v>
      </c>
      <c r="G92">
        <v>2567</v>
      </c>
      <c r="H92">
        <v>11116</v>
      </c>
      <c r="I92">
        <v>6785</v>
      </c>
      <c r="J92">
        <v>7446</v>
      </c>
      <c r="K92">
        <v>3345</v>
      </c>
      <c r="L92" s="16">
        <v>1567</v>
      </c>
      <c r="N92">
        <f t="shared" ref="N92:N95" si="16">B92-1915</f>
        <v>409</v>
      </c>
      <c r="O92">
        <f t="shared" si="15"/>
        <v>10412</v>
      </c>
      <c r="P92">
        <f t="shared" si="15"/>
        <v>4292</v>
      </c>
      <c r="Q92">
        <f t="shared" si="15"/>
        <v>8090</v>
      </c>
      <c r="R92">
        <f t="shared" si="15"/>
        <v>1532</v>
      </c>
      <c r="S92">
        <f t="shared" si="15"/>
        <v>652</v>
      </c>
      <c r="T92">
        <f t="shared" si="15"/>
        <v>9201</v>
      </c>
      <c r="U92">
        <f t="shared" si="15"/>
        <v>4870</v>
      </c>
      <c r="V92">
        <f t="shared" si="15"/>
        <v>5531</v>
      </c>
      <c r="W92">
        <f t="shared" si="15"/>
        <v>1430</v>
      </c>
    </row>
    <row r="93" spans="1:23" x14ac:dyDescent="0.2">
      <c r="A93" s="4" t="s">
        <v>38</v>
      </c>
      <c r="B93">
        <v>2451</v>
      </c>
      <c r="C93">
        <v>12450</v>
      </c>
      <c r="D93">
        <v>7047</v>
      </c>
      <c r="E93">
        <v>7230</v>
      </c>
      <c r="F93">
        <v>3407</v>
      </c>
      <c r="G93">
        <v>2642</v>
      </c>
      <c r="H93">
        <v>11216</v>
      </c>
      <c r="I93">
        <v>6639</v>
      </c>
      <c r="J93">
        <v>7439</v>
      </c>
      <c r="K93">
        <v>3286</v>
      </c>
      <c r="L93" s="16">
        <v>1560</v>
      </c>
      <c r="N93">
        <f t="shared" si="16"/>
        <v>536</v>
      </c>
      <c r="O93">
        <f t="shared" si="15"/>
        <v>10535</v>
      </c>
      <c r="P93">
        <f t="shared" si="15"/>
        <v>5132</v>
      </c>
      <c r="Q93">
        <f t="shared" si="15"/>
        <v>5315</v>
      </c>
      <c r="R93">
        <f t="shared" si="15"/>
        <v>1492</v>
      </c>
      <c r="S93">
        <f t="shared" si="15"/>
        <v>727</v>
      </c>
      <c r="T93">
        <f t="shared" si="15"/>
        <v>9301</v>
      </c>
      <c r="U93">
        <f t="shared" si="15"/>
        <v>4724</v>
      </c>
      <c r="V93">
        <f t="shared" si="15"/>
        <v>5524</v>
      </c>
      <c r="W93">
        <f t="shared" si="15"/>
        <v>1371</v>
      </c>
    </row>
    <row r="94" spans="1:23" x14ac:dyDescent="0.2">
      <c r="A94" s="4" t="s">
        <v>39</v>
      </c>
      <c r="B94">
        <v>2596</v>
      </c>
      <c r="C94">
        <v>13481</v>
      </c>
      <c r="D94">
        <v>5509</v>
      </c>
      <c r="E94">
        <v>9932</v>
      </c>
      <c r="F94">
        <v>3275</v>
      </c>
      <c r="G94">
        <v>2728</v>
      </c>
      <c r="H94">
        <v>11674</v>
      </c>
      <c r="I94">
        <v>6896</v>
      </c>
      <c r="J94">
        <v>7268</v>
      </c>
      <c r="K94">
        <v>3435</v>
      </c>
      <c r="L94">
        <v>190</v>
      </c>
      <c r="N94">
        <f t="shared" si="16"/>
        <v>681</v>
      </c>
      <c r="O94">
        <f t="shared" si="15"/>
        <v>11566</v>
      </c>
      <c r="P94">
        <f t="shared" si="15"/>
        <v>3594</v>
      </c>
      <c r="Q94">
        <f t="shared" si="15"/>
        <v>8017</v>
      </c>
      <c r="R94">
        <f t="shared" si="15"/>
        <v>1360</v>
      </c>
      <c r="S94">
        <f t="shared" si="15"/>
        <v>813</v>
      </c>
      <c r="T94">
        <f t="shared" si="15"/>
        <v>9759</v>
      </c>
      <c r="U94">
        <f t="shared" si="15"/>
        <v>4981</v>
      </c>
      <c r="V94">
        <f t="shared" si="15"/>
        <v>5353</v>
      </c>
      <c r="W94">
        <f t="shared" si="15"/>
        <v>1520</v>
      </c>
    </row>
    <row r="95" spans="1:23" x14ac:dyDescent="0.2">
      <c r="A95" s="4" t="s">
        <v>40</v>
      </c>
      <c r="B95">
        <v>2629</v>
      </c>
      <c r="C95">
        <v>7768</v>
      </c>
      <c r="D95">
        <v>5486</v>
      </c>
      <c r="E95">
        <v>7207</v>
      </c>
      <c r="F95">
        <v>3366</v>
      </c>
      <c r="G95">
        <v>2585</v>
      </c>
      <c r="H95">
        <v>11427</v>
      </c>
      <c r="I95">
        <v>6476</v>
      </c>
      <c r="J95">
        <v>7153</v>
      </c>
      <c r="K95">
        <v>3169</v>
      </c>
      <c r="L95">
        <v>186</v>
      </c>
      <c r="N95">
        <f t="shared" si="16"/>
        <v>714</v>
      </c>
      <c r="O95">
        <f t="shared" si="15"/>
        <v>5853</v>
      </c>
      <c r="P95">
        <f t="shared" si="15"/>
        <v>3571</v>
      </c>
      <c r="Q95">
        <f t="shared" si="15"/>
        <v>5292</v>
      </c>
      <c r="R95">
        <f t="shared" si="15"/>
        <v>1451</v>
      </c>
      <c r="S95">
        <f t="shared" si="15"/>
        <v>670</v>
      </c>
      <c r="T95">
        <f t="shared" si="15"/>
        <v>9512</v>
      </c>
      <c r="U95">
        <f t="shared" si="15"/>
        <v>4561</v>
      </c>
      <c r="V95">
        <f t="shared" si="15"/>
        <v>5238</v>
      </c>
      <c r="W95">
        <f t="shared" si="15"/>
        <v>1254</v>
      </c>
    </row>
    <row r="97" spans="1:12" x14ac:dyDescent="0.2">
      <c r="L97">
        <f>AVERAGE(L91:L93)</f>
        <v>1571.3333333333333</v>
      </c>
    </row>
    <row r="100" spans="1:12" x14ac:dyDescent="0.2">
      <c r="A100" t="s">
        <v>41</v>
      </c>
      <c r="B100" s="2" t="s">
        <v>67</v>
      </c>
    </row>
    <row r="105" spans="1:12" x14ac:dyDescent="0.2">
      <c r="A105" t="s">
        <v>68</v>
      </c>
    </row>
    <row r="106" spans="1:12" x14ac:dyDescent="0.2">
      <c r="A106" t="s">
        <v>22</v>
      </c>
      <c r="E106" t="s">
        <v>50</v>
      </c>
    </row>
    <row r="107" spans="1:12" x14ac:dyDescent="0.2">
      <c r="A107" t="s">
        <v>51</v>
      </c>
      <c r="E107">
        <v>488</v>
      </c>
      <c r="F107" t="s">
        <v>25</v>
      </c>
    </row>
    <row r="108" spans="1:12" x14ac:dyDescent="0.2">
      <c r="A108" t="s">
        <v>52</v>
      </c>
      <c r="E108">
        <v>520</v>
      </c>
      <c r="F108" t="s">
        <v>25</v>
      </c>
    </row>
    <row r="109" spans="1:12" x14ac:dyDescent="0.2">
      <c r="A109" t="s">
        <v>53</v>
      </c>
      <c r="E109">
        <v>9</v>
      </c>
      <c r="F109" t="s">
        <v>25</v>
      </c>
    </row>
    <row r="110" spans="1:12" x14ac:dyDescent="0.2">
      <c r="A110" t="s">
        <v>54</v>
      </c>
      <c r="E110">
        <v>20</v>
      </c>
      <c r="F110" t="s">
        <v>25</v>
      </c>
    </row>
    <row r="111" spans="1:12" x14ac:dyDescent="0.2">
      <c r="A111" t="s">
        <v>55</v>
      </c>
      <c r="E111">
        <v>100</v>
      </c>
      <c r="F111" t="s">
        <v>56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57</v>
      </c>
      <c r="E113">
        <v>20</v>
      </c>
      <c r="F113" t="s">
        <v>58</v>
      </c>
    </row>
    <row r="114" spans="1:12" x14ac:dyDescent="0.2">
      <c r="A114" t="s">
        <v>59</v>
      </c>
      <c r="E114">
        <v>0</v>
      </c>
      <c r="F114" t="s">
        <v>58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60</v>
      </c>
      <c r="E116">
        <v>20000</v>
      </c>
      <c r="F116" t="s">
        <v>61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69</v>
      </c>
    </row>
    <row r="120" spans="1:12" x14ac:dyDescent="0.2">
      <c r="B120" t="s">
        <v>63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11229</v>
      </c>
      <c r="C122">
        <v>58417</v>
      </c>
      <c r="D122">
        <v>27010</v>
      </c>
      <c r="E122">
        <v>41340</v>
      </c>
      <c r="F122">
        <v>15540</v>
      </c>
      <c r="G122">
        <v>12171</v>
      </c>
      <c r="H122">
        <v>49668</v>
      </c>
      <c r="I122">
        <v>31297</v>
      </c>
      <c r="J122">
        <v>36101</v>
      </c>
      <c r="K122">
        <v>12070</v>
      </c>
      <c r="L122">
        <v>7591</v>
      </c>
    </row>
    <row r="123" spans="1:12" x14ac:dyDescent="0.2">
      <c r="A123" s="4" t="s">
        <v>37</v>
      </c>
      <c r="B123">
        <v>11145</v>
      </c>
      <c r="C123">
        <v>58566</v>
      </c>
      <c r="D123">
        <v>29712</v>
      </c>
      <c r="E123">
        <v>47582</v>
      </c>
      <c r="F123">
        <v>16545</v>
      </c>
      <c r="G123">
        <v>12311</v>
      </c>
      <c r="H123">
        <v>52759</v>
      </c>
      <c r="I123">
        <v>32308</v>
      </c>
      <c r="J123">
        <v>35613</v>
      </c>
      <c r="K123">
        <v>16008</v>
      </c>
      <c r="L123">
        <v>7540</v>
      </c>
    </row>
    <row r="124" spans="1:12" x14ac:dyDescent="0.2">
      <c r="A124" s="4" t="s">
        <v>38</v>
      </c>
      <c r="B124">
        <v>11815</v>
      </c>
      <c r="C124">
        <v>59020</v>
      </c>
      <c r="D124">
        <v>33787</v>
      </c>
      <c r="E124">
        <v>34671</v>
      </c>
      <c r="F124">
        <v>16301</v>
      </c>
      <c r="G124">
        <v>12627</v>
      </c>
      <c r="H124">
        <v>53253</v>
      </c>
      <c r="I124">
        <v>31756</v>
      </c>
      <c r="J124">
        <v>35553</v>
      </c>
      <c r="K124">
        <v>15820</v>
      </c>
      <c r="L124">
        <v>7561</v>
      </c>
    </row>
    <row r="125" spans="1:12" x14ac:dyDescent="0.2">
      <c r="A125" s="4" t="s">
        <v>39</v>
      </c>
      <c r="B125">
        <v>12527</v>
      </c>
      <c r="C125">
        <v>63452</v>
      </c>
      <c r="D125">
        <v>26365</v>
      </c>
      <c r="E125">
        <v>47198</v>
      </c>
      <c r="F125">
        <v>15740</v>
      </c>
      <c r="G125">
        <v>13083</v>
      </c>
      <c r="H125">
        <v>55272</v>
      </c>
      <c r="I125">
        <v>32998</v>
      </c>
      <c r="J125">
        <v>34658</v>
      </c>
      <c r="K125">
        <v>16446</v>
      </c>
      <c r="L125">
        <v>925</v>
      </c>
    </row>
    <row r="126" spans="1:12" x14ac:dyDescent="0.2">
      <c r="A126" s="4" t="s">
        <v>40</v>
      </c>
      <c r="B126">
        <v>12625</v>
      </c>
      <c r="C126">
        <v>37009</v>
      </c>
      <c r="D126">
        <v>26283</v>
      </c>
      <c r="E126">
        <v>34287</v>
      </c>
      <c r="F126">
        <v>16211</v>
      </c>
      <c r="G126">
        <v>12383</v>
      </c>
      <c r="H126">
        <v>53943</v>
      </c>
      <c r="I126">
        <v>30933</v>
      </c>
      <c r="J126">
        <v>34144</v>
      </c>
      <c r="K126">
        <v>15194</v>
      </c>
      <c r="L126">
        <v>913</v>
      </c>
    </row>
    <row r="131" spans="1:2" x14ac:dyDescent="0.2">
      <c r="A131" t="s">
        <v>41</v>
      </c>
      <c r="B131" s="2" t="s">
        <v>70</v>
      </c>
    </row>
  </sheetData>
  <mergeCells count="4">
    <mergeCell ref="N67:Q67"/>
    <mergeCell ref="S67:V67"/>
    <mergeCell ref="N68:R68"/>
    <mergeCell ref="S68:W6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topLeftCell="A14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45927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12" x14ac:dyDescent="0.2">
      <c r="A18" t="s">
        <v>21</v>
      </c>
    </row>
    <row r="19" spans="1:12" x14ac:dyDescent="0.2">
      <c r="A19" t="s">
        <v>22</v>
      </c>
      <c r="E19" t="s">
        <v>23</v>
      </c>
    </row>
    <row r="20" spans="1:12" x14ac:dyDescent="0.2">
      <c r="A20" t="s">
        <v>24</v>
      </c>
      <c r="E20">
        <v>600</v>
      </c>
      <c r="F20" t="s">
        <v>25</v>
      </c>
    </row>
    <row r="21" spans="1:12" x14ac:dyDescent="0.2">
      <c r="A21" t="s">
        <v>26</v>
      </c>
      <c r="E21">
        <v>9</v>
      </c>
      <c r="F21" t="s">
        <v>25</v>
      </c>
    </row>
    <row r="22" spans="1:12" x14ac:dyDescent="0.2">
      <c r="A22" t="s">
        <v>27</v>
      </c>
      <c r="E22">
        <v>10</v>
      </c>
    </row>
    <row r="23" spans="1:12" x14ac:dyDescent="0.2">
      <c r="A23" t="s">
        <v>28</v>
      </c>
      <c r="E23">
        <v>0</v>
      </c>
      <c r="F23" t="s">
        <v>29</v>
      </c>
    </row>
    <row r="24" spans="1:12" x14ac:dyDescent="0.2">
      <c r="A24" t="s">
        <v>30</v>
      </c>
      <c r="E24" t="s">
        <v>31</v>
      </c>
    </row>
    <row r="25" spans="1:12" x14ac:dyDescent="0.2">
      <c r="A25" t="s">
        <v>32</v>
      </c>
      <c r="B25" s="2" t="s">
        <v>33</v>
      </c>
    </row>
    <row r="27" spans="1:12" x14ac:dyDescent="0.2">
      <c r="A27" s="5" t="s">
        <v>43</v>
      </c>
      <c r="B27" s="5" t="s">
        <v>44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B28" t="s">
        <v>34</v>
      </c>
    </row>
    <row r="29" spans="1:12" x14ac:dyDescent="0.2">
      <c r="A29" s="4" t="s">
        <v>35</v>
      </c>
      <c r="B29" s="4">
        <v>2</v>
      </c>
      <c r="C29" s="4">
        <v>3</v>
      </c>
      <c r="D29" s="4">
        <v>4</v>
      </c>
      <c r="E29" s="4">
        <v>5</v>
      </c>
      <c r="F29" s="4">
        <v>6</v>
      </c>
      <c r="G29" s="4">
        <v>7</v>
      </c>
      <c r="H29" s="4">
        <v>8</v>
      </c>
      <c r="I29" s="4">
        <v>9</v>
      </c>
      <c r="J29" s="4">
        <v>10</v>
      </c>
      <c r="K29" s="4">
        <v>11</v>
      </c>
      <c r="L29" s="4">
        <v>12</v>
      </c>
    </row>
    <row r="30" spans="1:12" x14ac:dyDescent="0.2">
      <c r="A30" s="6" t="s">
        <v>36</v>
      </c>
      <c r="B30" s="3">
        <v>1.0814000368118286</v>
      </c>
      <c r="C30" s="3">
        <v>1.1138999462127686</v>
      </c>
      <c r="D30" s="3" t="s">
        <v>45</v>
      </c>
      <c r="E30" s="3">
        <v>1.1075999736785889</v>
      </c>
      <c r="F30" s="3">
        <v>1.0960999727249146</v>
      </c>
      <c r="G30" s="3">
        <v>1.1111999750137329</v>
      </c>
      <c r="H30" s="3"/>
      <c r="I30" s="3"/>
      <c r="J30" s="3">
        <v>1.0843000411987305</v>
      </c>
      <c r="K30" s="3">
        <v>0.86870002746582031</v>
      </c>
      <c r="L30" s="3">
        <v>4.3299999088048935E-2</v>
      </c>
    </row>
    <row r="31" spans="1:12" x14ac:dyDescent="0.2">
      <c r="A31" s="6" t="s">
        <v>37</v>
      </c>
      <c r="B31" s="3">
        <v>1.0439000129699707</v>
      </c>
      <c r="C31" s="3">
        <v>1.1050000190734863</v>
      </c>
      <c r="D31" s="3" t="s">
        <v>45</v>
      </c>
      <c r="E31" s="3">
        <v>1.0922000408172607</v>
      </c>
      <c r="F31" s="3">
        <v>1.1253000497817993</v>
      </c>
      <c r="G31" s="3">
        <v>1.1087000370025635</v>
      </c>
      <c r="H31" s="3"/>
      <c r="I31" s="3"/>
      <c r="J31" s="3">
        <v>1.1583000421524048</v>
      </c>
      <c r="K31" s="3">
        <v>1.1687999963760376</v>
      </c>
      <c r="L31" s="3">
        <v>4.3400000780820847E-2</v>
      </c>
    </row>
    <row r="32" spans="1:12" x14ac:dyDescent="0.2">
      <c r="A32" s="6" t="s">
        <v>38</v>
      </c>
      <c r="B32" s="3">
        <v>1.1491999626159668</v>
      </c>
      <c r="C32" s="3">
        <v>1.1223000288009644</v>
      </c>
      <c r="D32" s="3" t="s">
        <v>45</v>
      </c>
      <c r="E32" s="3">
        <v>0.92150002717971802</v>
      </c>
      <c r="F32" s="3">
        <v>1.1131999492645264</v>
      </c>
      <c r="G32" s="3">
        <v>1.1998000144958496</v>
      </c>
      <c r="H32" s="3"/>
      <c r="I32" s="3"/>
      <c r="J32" s="3">
        <v>1.0860999822616577</v>
      </c>
      <c r="K32" s="3">
        <v>1.0999000072479248</v>
      </c>
      <c r="L32" s="3">
        <v>4.3400000780820847E-2</v>
      </c>
    </row>
    <row r="33" spans="1:12" x14ac:dyDescent="0.2">
      <c r="A33" s="4" t="s">
        <v>39</v>
      </c>
      <c r="B33">
        <v>1.1002000570297241</v>
      </c>
      <c r="C33">
        <v>1.156999945640564</v>
      </c>
      <c r="D33">
        <v>1.1171000003814697</v>
      </c>
      <c r="E33">
        <v>1.0080000162124634</v>
      </c>
      <c r="F33">
        <v>1.0606000423431396</v>
      </c>
      <c r="G33">
        <v>1.1057000160217285</v>
      </c>
      <c r="H33">
        <v>1.1741000413894653</v>
      </c>
      <c r="I33">
        <v>1.1065000295639038</v>
      </c>
      <c r="J33">
        <v>1.1177999973297119</v>
      </c>
      <c r="K33">
        <v>1.0859999656677246</v>
      </c>
      <c r="L33">
        <v>4.4700000435113907E-2</v>
      </c>
    </row>
    <row r="34" spans="1:12" x14ac:dyDescent="0.2">
      <c r="A34" s="4" t="s">
        <v>40</v>
      </c>
      <c r="B34">
        <v>1.0142999887466431</v>
      </c>
      <c r="C34">
        <v>0.86979997158050537</v>
      </c>
      <c r="D34">
        <v>1.079800009727478</v>
      </c>
      <c r="E34">
        <v>0.99730002880096436</v>
      </c>
      <c r="F34">
        <v>1.1371999979019165</v>
      </c>
      <c r="G34">
        <v>1.0428999662399292</v>
      </c>
      <c r="H34">
        <v>1.1331000328063965</v>
      </c>
      <c r="I34">
        <v>1.0845999717712402</v>
      </c>
      <c r="J34">
        <v>1.0031000375747681</v>
      </c>
      <c r="K34">
        <v>1.0801999568939209</v>
      </c>
      <c r="L34">
        <v>4.479999840259552E-2</v>
      </c>
    </row>
    <row r="39" spans="1:12" x14ac:dyDescent="0.2">
      <c r="A39" t="s">
        <v>41</v>
      </c>
      <c r="B39" s="2" t="s">
        <v>42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tet10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2025-10-25T01:19:57Z</dcterms:modified>
</cp:coreProperties>
</file>