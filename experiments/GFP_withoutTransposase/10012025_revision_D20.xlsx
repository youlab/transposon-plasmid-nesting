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ychha/Desktop/Systems Biology/Mine/Plasmid-Transposon/Exp/tetA/Revision/"/>
    </mc:Choice>
  </mc:AlternateContent>
  <xr:revisionPtr revIDLastSave="0" documentId="13_ncr:1_{E6B9DEEF-2719-674E-AEB5-DEE71728DCD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et10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5" i="2" l="1"/>
  <c r="V95" i="2"/>
  <c r="U95" i="2"/>
  <c r="T95" i="2"/>
  <c r="S95" i="2"/>
  <c r="R95" i="2"/>
  <c r="Q95" i="2"/>
  <c r="P95" i="2"/>
  <c r="O95" i="2"/>
  <c r="W94" i="2"/>
  <c r="V94" i="2"/>
  <c r="U94" i="2"/>
  <c r="T94" i="2"/>
  <c r="S94" i="2"/>
  <c r="R94" i="2"/>
  <c r="Q94" i="2"/>
  <c r="P94" i="2"/>
  <c r="O94" i="2"/>
  <c r="W93" i="2"/>
  <c r="V93" i="2"/>
  <c r="U93" i="2"/>
  <c r="T93" i="2"/>
  <c r="S93" i="2"/>
  <c r="R93" i="2"/>
  <c r="Q93" i="2"/>
  <c r="P93" i="2"/>
  <c r="O93" i="2"/>
  <c r="W92" i="2"/>
  <c r="V92" i="2"/>
  <c r="U92" i="2"/>
  <c r="T92" i="2"/>
  <c r="S92" i="2"/>
  <c r="R92" i="2"/>
  <c r="Q92" i="2"/>
  <c r="P92" i="2"/>
  <c r="O92" i="2"/>
  <c r="W91" i="2"/>
  <c r="V91" i="2"/>
  <c r="U91" i="2"/>
  <c r="T91" i="2"/>
  <c r="S91" i="2"/>
  <c r="R91" i="2"/>
  <c r="R70" i="2" s="1"/>
  <c r="Q91" i="2"/>
  <c r="P91" i="2"/>
  <c r="O91" i="2"/>
  <c r="N95" i="2"/>
  <c r="N94" i="2"/>
  <c r="N93" i="2"/>
  <c r="N92" i="2"/>
  <c r="N91" i="2"/>
  <c r="L97" i="2"/>
  <c r="W33" i="2"/>
  <c r="V33" i="2"/>
  <c r="U33" i="2"/>
  <c r="T33" i="2"/>
  <c r="S33" i="2"/>
  <c r="R33" i="2"/>
  <c r="Q33" i="2"/>
  <c r="Q74" i="2" s="1"/>
  <c r="P33" i="2"/>
  <c r="P74" i="2" s="1"/>
  <c r="O33" i="2"/>
  <c r="O74" i="2" s="1"/>
  <c r="W32" i="2"/>
  <c r="W73" i="2" s="1"/>
  <c r="V32" i="2"/>
  <c r="V73" i="2" s="1"/>
  <c r="U32" i="2"/>
  <c r="U73" i="2" s="1"/>
  <c r="T32" i="2"/>
  <c r="T73" i="2" s="1"/>
  <c r="S32" i="2"/>
  <c r="R32" i="2"/>
  <c r="Q32" i="2"/>
  <c r="P32" i="2"/>
  <c r="O32" i="2"/>
  <c r="W31" i="2"/>
  <c r="V31" i="2"/>
  <c r="U31" i="2"/>
  <c r="T31" i="2"/>
  <c r="S31" i="2"/>
  <c r="R31" i="2"/>
  <c r="R72" i="2" s="1"/>
  <c r="Q31" i="2"/>
  <c r="Q72" i="2" s="1"/>
  <c r="P31" i="2"/>
  <c r="P72" i="2" s="1"/>
  <c r="O31" i="2"/>
  <c r="O72" i="2" s="1"/>
  <c r="W30" i="2"/>
  <c r="W71" i="2" s="1"/>
  <c r="V30" i="2"/>
  <c r="V71" i="2" s="1"/>
  <c r="U30" i="2"/>
  <c r="T30" i="2"/>
  <c r="S30" i="2"/>
  <c r="R30" i="2"/>
  <c r="Q30" i="2"/>
  <c r="P30" i="2"/>
  <c r="O30" i="2"/>
  <c r="W29" i="2"/>
  <c r="V29" i="2"/>
  <c r="U29" i="2"/>
  <c r="T29" i="2"/>
  <c r="S29" i="2"/>
  <c r="R29" i="2"/>
  <c r="Q29" i="2"/>
  <c r="Q70" i="2" s="1"/>
  <c r="P29" i="2"/>
  <c r="P70" i="2" s="1"/>
  <c r="O29" i="2"/>
  <c r="O70" i="2" s="1"/>
  <c r="N33" i="2"/>
  <c r="N32" i="2"/>
  <c r="N31" i="2"/>
  <c r="N30" i="2"/>
  <c r="N29" i="2"/>
  <c r="L35" i="2"/>
  <c r="T74" i="2"/>
  <c r="N73" i="2"/>
  <c r="R71" i="2"/>
  <c r="T70" i="2"/>
  <c r="S70" i="2"/>
  <c r="W74" i="2"/>
  <c r="V74" i="2"/>
  <c r="U74" i="2"/>
  <c r="S74" i="2"/>
  <c r="R74" i="2"/>
  <c r="N74" i="2"/>
  <c r="P73" i="2"/>
  <c r="O73" i="2"/>
  <c r="W72" i="2"/>
  <c r="V72" i="2"/>
  <c r="U72" i="2"/>
  <c r="T72" i="2"/>
  <c r="S72" i="2"/>
  <c r="N72" i="2"/>
  <c r="Q71" i="2"/>
  <c r="P71" i="2"/>
  <c r="O71" i="2"/>
  <c r="N71" i="2"/>
  <c r="W70" i="2"/>
  <c r="V70" i="2"/>
  <c r="U70" i="2"/>
  <c r="N70" i="2"/>
  <c r="S71" i="2" l="1"/>
  <c r="Q73" i="2"/>
  <c r="R73" i="2"/>
  <c r="T71" i="2"/>
  <c r="U71" i="2"/>
  <c r="S73" i="2"/>
  <c r="O76" i="2"/>
  <c r="T76" i="2"/>
  <c r="N76" i="2"/>
  <c r="P76" i="2"/>
  <c r="S76" i="2"/>
  <c r="Q76" i="2"/>
  <c r="R76" i="2"/>
  <c r="U76" i="2"/>
  <c r="V76" i="2"/>
  <c r="W76" i="2"/>
  <c r="W87" i="2" l="1"/>
  <c r="W78" i="2"/>
  <c r="W84" i="2"/>
  <c r="V87" i="2"/>
  <c r="V78" i="2"/>
  <c r="V84" i="2"/>
  <c r="Q84" i="2"/>
  <c r="Q87" i="2"/>
  <c r="Q78" i="2"/>
  <c r="T87" i="2"/>
  <c r="T78" i="2"/>
  <c r="T84" i="2"/>
  <c r="U87" i="2"/>
  <c r="U78" i="2"/>
  <c r="U84" i="2"/>
  <c r="R84" i="2"/>
  <c r="R87" i="2"/>
  <c r="R78" i="2"/>
  <c r="S84" i="2"/>
  <c r="S87" i="2"/>
  <c r="S78" i="2"/>
  <c r="P84" i="2"/>
  <c r="P87" i="2"/>
  <c r="P78" i="2"/>
  <c r="N84" i="2"/>
  <c r="N87" i="2"/>
  <c r="N78" i="2"/>
  <c r="O84" i="2"/>
  <c r="O87" i="2"/>
  <c r="O7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V_5.23_05/17_InfiniteRX (May  9 2017/12.19.53)
MTP, V_5.23_05/17_InfiniteRX (May  9 2017/12.19.53)
HCP, V_5.23_05/17_InfiniteRX (May  9 2017/12.19.53)
MEM, V_3.00_09/11_MCR (Sep 27 2011/15.05.45)
MEX, V_3.00_09/11_MCR (Sep 27 2011/15.05.10)
ZSCAN, V_5.23_05/17_InfiniteRX (May  9 2017/12.19.53)
</t>
        </r>
      </text>
    </comment>
  </commentList>
</comments>
</file>

<file path=xl/sharedStrings.xml><?xml version="1.0" encoding="utf-8"?>
<sst xmlns="http://schemas.openxmlformats.org/spreadsheetml/2006/main" count="178" uniqueCount="79">
  <si>
    <t>Application: Tecan i-control</t>
  </si>
  <si>
    <t>Tecan i-control , 2.0.10.0</t>
  </si>
  <si>
    <t>Device: infinite 200Pro</t>
  </si>
  <si>
    <t>Serial number: 1705009483</t>
  </si>
  <si>
    <t>Serial number of connected stacker:</t>
  </si>
  <si>
    <t>Firmware: V_5.23_05/17_InfiniteRX (May  9 2017/12.19.53)</t>
  </si>
  <si>
    <t>MAI, V_5.23_05/17_InfiniteRX (May  9 2017/12.19.53)</t>
  </si>
  <si>
    <t>Date:</t>
  </si>
  <si>
    <t>Time:</t>
  </si>
  <si>
    <t>5:25:57 PM</t>
  </si>
  <si>
    <t>System</t>
  </si>
  <si>
    <t>TECAN-HP</t>
  </si>
  <si>
    <t>User</t>
  </si>
  <si>
    <t>Tecan-HP\Tecan</t>
  </si>
  <si>
    <t>Plate</t>
  </si>
  <si>
    <t>Corning 96 Flat Bottom Black Polystyrene Cat. No.: 3631 [COR96fb clear bottom.pdfx]</t>
  </si>
  <si>
    <t>Plate-ID (Stacker)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</si>
  <si>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</si>
  <si>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</si>
  <si>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</si>
  <si>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</si>
  <si>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</si>
  <si>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</si>
  <si>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</si>
  <si>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</si>
  <si>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</si>
  <si>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</si>
  <si>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</si>
  <si>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</si>
  <si>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</si>
  <si>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</si>
  <si>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B2-F12</t>
  </si>
  <si>
    <t>Start Time:</t>
  </si>
  <si>
    <t>10/1/2025 5:26:02 PM</t>
  </si>
  <si>
    <t>Temperature: 27.1 °C</t>
  </si>
  <si>
    <t>&lt;&gt;</t>
  </si>
  <si>
    <t>B</t>
  </si>
  <si>
    <t>C</t>
  </si>
  <si>
    <t>D</t>
  </si>
  <si>
    <t>E</t>
  </si>
  <si>
    <t>F</t>
  </si>
  <si>
    <t>End Time:</t>
  </si>
  <si>
    <t>10/1/2025 5:26:28 PM</t>
  </si>
  <si>
    <t>Label: gfp50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</si>
  <si>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</si>
  <si>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</si>
  <si>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</si>
  <si>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</si>
  <si>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</si>
  <si>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</si>
  <si>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</si>
  <si>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</si>
  <si>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</si>
  <si>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</si>
  <si>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</si>
  <si>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</si>
  <si>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10/1/2025 5:26:33 PM</t>
  </si>
  <si>
    <t>10/1/2025 5:27:21 PM</t>
  </si>
  <si>
    <t>Label: gfp 80</t>
  </si>
  <si>
    <t>10/1/2025 5:27:28 PM</t>
  </si>
  <si>
    <t>10/1/2025 5:28:17 PM</t>
  </si>
  <si>
    <t>Label: gfp100</t>
  </si>
  <si>
    <t>10/1/2025 5:28:24 PM</t>
  </si>
  <si>
    <t>OVER</t>
  </si>
  <si>
    <t>10/1/2025 5:29:12 PM</t>
  </si>
  <si>
    <t>T-TE+</t>
  </si>
  <si>
    <t>T+TE+</t>
  </si>
  <si>
    <t>Kan+</t>
  </si>
  <si>
    <t>Kan-</t>
  </si>
  <si>
    <t>p15A</t>
  </si>
  <si>
    <t>pBR</t>
  </si>
  <si>
    <t>CloDF</t>
  </si>
  <si>
    <t>pUC</t>
  </si>
  <si>
    <t>p15A,++</t>
  </si>
  <si>
    <t>D7</t>
  </si>
  <si>
    <t>D20/D7</t>
  </si>
  <si>
    <t>D20/D1</t>
  </si>
  <si>
    <t>D19</t>
  </si>
  <si>
    <t>D20/D19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</si>
</sst>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1" fillId="2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/>
    <xf numFmtId="0" fontId="5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 vertical="center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1"/>
  <sheetViews>
    <sheetView tabSelected="1" topLeftCell="C57" workbookViewId="0">
      <selection activeCell="Y75" sqref="Y75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45931</v>
      </c>
    </row>
    <row r="6" spans="1:12" x14ac:dyDescent="0.2">
      <c r="A6" t="s">
        <v>8</v>
      </c>
      <c r="B6" s="2" t="s">
        <v>9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>
        <v>5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">
      <c r="A15" s="3" t="s">
        <v>19</v>
      </c>
      <c r="B15" s="3"/>
      <c r="C15" s="3"/>
      <c r="D15" s="3"/>
      <c r="E15" s="3">
        <v>2</v>
      </c>
      <c r="F15" s="3" t="s">
        <v>20</v>
      </c>
      <c r="G15" s="3"/>
      <c r="H15" s="3"/>
      <c r="I15" s="3"/>
      <c r="J15" s="3"/>
      <c r="K15" s="3"/>
      <c r="L15" s="3"/>
    </row>
    <row r="18" spans="1:23" x14ac:dyDescent="0.2">
      <c r="A18" t="s">
        <v>21</v>
      </c>
    </row>
    <row r="19" spans="1:23" x14ac:dyDescent="0.2">
      <c r="A19" t="s">
        <v>22</v>
      </c>
      <c r="E19" t="s">
        <v>23</v>
      </c>
    </row>
    <row r="20" spans="1:23" x14ac:dyDescent="0.2">
      <c r="A20" t="s">
        <v>24</v>
      </c>
      <c r="E20">
        <v>600</v>
      </c>
      <c r="F20" t="s">
        <v>25</v>
      </c>
    </row>
    <row r="21" spans="1:23" x14ac:dyDescent="0.2">
      <c r="A21" t="s">
        <v>26</v>
      </c>
      <c r="E21">
        <v>9</v>
      </c>
      <c r="F21" t="s">
        <v>25</v>
      </c>
    </row>
    <row r="22" spans="1:23" x14ac:dyDescent="0.2">
      <c r="A22" t="s">
        <v>27</v>
      </c>
      <c r="E22">
        <v>10</v>
      </c>
    </row>
    <row r="23" spans="1:23" x14ac:dyDescent="0.2">
      <c r="A23" t="s">
        <v>28</v>
      </c>
      <c r="E23">
        <v>0</v>
      </c>
      <c r="F23" t="s">
        <v>29</v>
      </c>
    </row>
    <row r="24" spans="1:23" x14ac:dyDescent="0.2">
      <c r="A24" t="s">
        <v>30</v>
      </c>
      <c r="E24" t="s">
        <v>31</v>
      </c>
    </row>
    <row r="25" spans="1:23" x14ac:dyDescent="0.2">
      <c r="A25" t="s">
        <v>32</v>
      </c>
      <c r="B25" s="2" t="s">
        <v>33</v>
      </c>
    </row>
    <row r="27" spans="1:23" x14ac:dyDescent="0.2">
      <c r="B27" t="s">
        <v>34</v>
      </c>
    </row>
    <row r="28" spans="1:23" x14ac:dyDescent="0.2">
      <c r="A28" s="4" t="s">
        <v>35</v>
      </c>
      <c r="B28" s="4">
        <v>2</v>
      </c>
      <c r="C28" s="4">
        <v>3</v>
      </c>
      <c r="D28" s="4">
        <v>4</v>
      </c>
      <c r="E28" s="4">
        <v>5</v>
      </c>
      <c r="F28" s="4">
        <v>6</v>
      </c>
      <c r="G28" s="4">
        <v>7</v>
      </c>
      <c r="H28" s="4">
        <v>8</v>
      </c>
      <c r="I28" s="4">
        <v>9</v>
      </c>
      <c r="J28" s="4">
        <v>10</v>
      </c>
      <c r="K28" s="4">
        <v>11</v>
      </c>
      <c r="L28" s="4">
        <v>12</v>
      </c>
    </row>
    <row r="29" spans="1:23" x14ac:dyDescent="0.2">
      <c r="A29" s="4" t="s">
        <v>36</v>
      </c>
      <c r="B29">
        <v>1.0729999542236328</v>
      </c>
      <c r="C29">
        <v>1.0728000402450562</v>
      </c>
      <c r="D29">
        <v>1.0543999671936035</v>
      </c>
      <c r="E29">
        <v>1.0597000122070312</v>
      </c>
      <c r="F29">
        <v>0.85759997367858887</v>
      </c>
      <c r="G29">
        <v>0.99959999322891235</v>
      </c>
      <c r="H29">
        <v>0.76770001649856567</v>
      </c>
      <c r="I29">
        <v>0.84539997577667236</v>
      </c>
      <c r="J29">
        <v>0.6753000020980835</v>
      </c>
      <c r="K29">
        <v>0.58520001173019409</v>
      </c>
      <c r="L29">
        <v>4.1200000792741776E-2</v>
      </c>
      <c r="N29">
        <f>B29-0.042</f>
        <v>1.0309999542236328</v>
      </c>
      <c r="O29">
        <f t="shared" ref="O29:O33" si="0">C29-0.042</f>
        <v>1.0308000402450561</v>
      </c>
      <c r="P29">
        <f t="shared" ref="P29:P33" si="1">D29-0.042</f>
        <v>1.0123999671936035</v>
      </c>
      <c r="Q29">
        <f t="shared" ref="Q29:Q33" si="2">E29-0.042</f>
        <v>1.0177000122070312</v>
      </c>
      <c r="R29">
        <f t="shared" ref="R29:R33" si="3">F29-0.042</f>
        <v>0.81559997367858883</v>
      </c>
      <c r="S29">
        <f t="shared" ref="S29:S33" si="4">G29-0.042</f>
        <v>0.95759999322891232</v>
      </c>
      <c r="T29">
        <f t="shared" ref="T29:T33" si="5">H29-0.042</f>
        <v>0.72570001649856564</v>
      </c>
      <c r="U29">
        <f t="shared" ref="U29:U33" si="6">I29-0.042</f>
        <v>0.80339997577667233</v>
      </c>
      <c r="V29">
        <f t="shared" ref="V29:V33" si="7">J29-0.042</f>
        <v>0.63330000209808346</v>
      </c>
      <c r="W29">
        <f t="shared" ref="W29:W33" si="8">K29-0.042</f>
        <v>0.54320001173019405</v>
      </c>
    </row>
    <row r="30" spans="1:23" x14ac:dyDescent="0.2">
      <c r="A30" s="4" t="s">
        <v>37</v>
      </c>
      <c r="B30">
        <v>1.0461000204086304</v>
      </c>
      <c r="C30">
        <v>1.0634000301361084</v>
      </c>
      <c r="D30">
        <v>1.0217000246047974</v>
      </c>
      <c r="E30">
        <v>0.80320000648498535</v>
      </c>
      <c r="F30">
        <v>0.74049997329711914</v>
      </c>
      <c r="G30">
        <v>0.86900001764297485</v>
      </c>
      <c r="H30">
        <v>1.0758999586105347</v>
      </c>
      <c r="I30">
        <v>0.98269999027252197</v>
      </c>
      <c r="J30">
        <v>0.83990001678466797</v>
      </c>
      <c r="K30">
        <v>0.81029999256134033</v>
      </c>
      <c r="L30">
        <v>4.179999977350235E-2</v>
      </c>
      <c r="N30">
        <f t="shared" ref="N30:N33" si="9">B30-0.042</f>
        <v>1.0041000204086303</v>
      </c>
      <c r="O30">
        <f t="shared" si="0"/>
        <v>1.0214000301361084</v>
      </c>
      <c r="P30">
        <f t="shared" si="1"/>
        <v>0.97970002460479733</v>
      </c>
      <c r="Q30">
        <f t="shared" si="2"/>
        <v>0.76120000648498531</v>
      </c>
      <c r="R30">
        <f t="shared" si="3"/>
        <v>0.6984999732971191</v>
      </c>
      <c r="S30">
        <f t="shared" si="4"/>
        <v>0.82700001764297482</v>
      </c>
      <c r="T30">
        <f t="shared" si="5"/>
        <v>1.0338999586105346</v>
      </c>
      <c r="U30">
        <f t="shared" si="6"/>
        <v>0.94069999027252194</v>
      </c>
      <c r="V30">
        <f t="shared" si="7"/>
        <v>0.79790001678466793</v>
      </c>
      <c r="W30">
        <f t="shared" si="8"/>
        <v>0.76829999256134029</v>
      </c>
    </row>
    <row r="31" spans="1:23" x14ac:dyDescent="0.2">
      <c r="A31" s="4" t="s">
        <v>38</v>
      </c>
      <c r="B31">
        <v>1.0183000564575195</v>
      </c>
      <c r="C31">
        <v>0.93080002069473267</v>
      </c>
      <c r="D31">
        <v>1.0108000040054321</v>
      </c>
      <c r="E31">
        <v>0.84189999103546143</v>
      </c>
      <c r="F31">
        <v>0.80190002918243408</v>
      </c>
      <c r="G31">
        <v>0.92989999055862427</v>
      </c>
      <c r="H31">
        <v>0.74650001525878906</v>
      </c>
      <c r="I31">
        <v>0.90399998426437378</v>
      </c>
      <c r="J31">
        <v>0.81929999589920044</v>
      </c>
      <c r="K31">
        <v>0.79220002889633179</v>
      </c>
      <c r="L31">
        <v>4.1700001806020737E-2</v>
      </c>
      <c r="N31">
        <f t="shared" si="9"/>
        <v>0.97630005645751949</v>
      </c>
      <c r="O31">
        <f t="shared" si="0"/>
        <v>0.88880002069473263</v>
      </c>
      <c r="P31">
        <f t="shared" si="1"/>
        <v>0.96880000400543209</v>
      </c>
      <c r="Q31">
        <f t="shared" si="2"/>
        <v>0.79989999103546139</v>
      </c>
      <c r="R31">
        <f t="shared" si="3"/>
        <v>0.75990002918243404</v>
      </c>
      <c r="S31">
        <f t="shared" si="4"/>
        <v>0.88789999055862423</v>
      </c>
      <c r="T31">
        <f t="shared" si="5"/>
        <v>0.70450001525878903</v>
      </c>
      <c r="U31">
        <f t="shared" si="6"/>
        <v>0.86199998426437374</v>
      </c>
      <c r="V31">
        <f t="shared" si="7"/>
        <v>0.7772999958992004</v>
      </c>
      <c r="W31">
        <f t="shared" si="8"/>
        <v>0.75020002889633175</v>
      </c>
    </row>
    <row r="32" spans="1:23" x14ac:dyDescent="0.2">
      <c r="A32" s="4" t="s">
        <v>39</v>
      </c>
      <c r="B32">
        <v>1.0543999671936035</v>
      </c>
      <c r="C32">
        <v>1.0810999870300293</v>
      </c>
      <c r="D32">
        <v>0.95819997787475586</v>
      </c>
      <c r="E32">
        <v>0.8726000189781189</v>
      </c>
      <c r="F32">
        <v>0.82669997215270996</v>
      </c>
      <c r="G32">
        <v>0.95870000123977661</v>
      </c>
      <c r="H32">
        <v>1.0159000158309937</v>
      </c>
      <c r="I32">
        <v>0.92989999055862427</v>
      </c>
      <c r="J32">
        <v>0.74390000104904175</v>
      </c>
      <c r="K32">
        <v>0.86269998550415039</v>
      </c>
      <c r="L32">
        <v>4.4199999421834946E-2</v>
      </c>
      <c r="N32">
        <f t="shared" si="9"/>
        <v>1.0123999671936035</v>
      </c>
      <c r="O32">
        <f t="shared" si="0"/>
        <v>1.0390999870300293</v>
      </c>
      <c r="P32">
        <f t="shared" si="1"/>
        <v>0.91619997787475582</v>
      </c>
      <c r="Q32">
        <f t="shared" si="2"/>
        <v>0.83060001897811886</v>
      </c>
      <c r="R32">
        <f t="shared" si="3"/>
        <v>0.78469997215270992</v>
      </c>
      <c r="S32">
        <f t="shared" si="4"/>
        <v>0.91670000123977657</v>
      </c>
      <c r="T32">
        <f t="shared" si="5"/>
        <v>0.97390001583099362</v>
      </c>
      <c r="U32">
        <f t="shared" si="6"/>
        <v>0.88789999055862423</v>
      </c>
      <c r="V32">
        <f t="shared" si="7"/>
        <v>0.70190000104904171</v>
      </c>
      <c r="W32">
        <f t="shared" si="8"/>
        <v>0.82069998550415035</v>
      </c>
    </row>
    <row r="33" spans="1:23" x14ac:dyDescent="0.2">
      <c r="A33" s="4" t="s">
        <v>40</v>
      </c>
      <c r="B33">
        <v>1.0938999652862549</v>
      </c>
      <c r="C33">
        <v>1.0286999940872192</v>
      </c>
      <c r="D33">
        <v>1.0400999784469604</v>
      </c>
      <c r="E33">
        <v>0.73530000448226929</v>
      </c>
      <c r="F33">
        <v>0.89469999074935913</v>
      </c>
      <c r="G33">
        <v>0.99879997968673706</v>
      </c>
      <c r="H33">
        <v>0.93409997224807739</v>
      </c>
      <c r="I33">
        <v>1.0039000511169434</v>
      </c>
      <c r="J33">
        <v>0.77810001373291016</v>
      </c>
      <c r="K33">
        <v>0.83520001173019409</v>
      </c>
      <c r="L33">
        <v>4.4500000774860382E-2</v>
      </c>
      <c r="N33">
        <f t="shared" si="9"/>
        <v>1.0518999652862548</v>
      </c>
      <c r="O33">
        <f t="shared" si="0"/>
        <v>0.9866999940872192</v>
      </c>
      <c r="P33">
        <f t="shared" si="1"/>
        <v>0.99809997844696041</v>
      </c>
      <c r="Q33">
        <f t="shared" si="2"/>
        <v>0.69330000448226925</v>
      </c>
      <c r="R33">
        <f t="shared" si="3"/>
        <v>0.85269999074935909</v>
      </c>
      <c r="S33">
        <f t="shared" si="4"/>
        <v>0.95679997968673702</v>
      </c>
      <c r="T33">
        <f t="shared" si="5"/>
        <v>0.89209997224807736</v>
      </c>
      <c r="U33">
        <f t="shared" si="6"/>
        <v>0.96190005111694332</v>
      </c>
      <c r="V33">
        <f t="shared" si="7"/>
        <v>0.73610001373291012</v>
      </c>
      <c r="W33">
        <f t="shared" si="8"/>
        <v>0.79320001173019405</v>
      </c>
    </row>
    <row r="35" spans="1:23" x14ac:dyDescent="0.2">
      <c r="L35">
        <f>AVERAGE(L29:L31)</f>
        <v>4.1566667457421623E-2</v>
      </c>
    </row>
    <row r="38" spans="1:23" x14ac:dyDescent="0.2">
      <c r="A38" t="s">
        <v>41</v>
      </c>
      <c r="B38" s="2" t="s">
        <v>42</v>
      </c>
    </row>
    <row r="43" spans="1:23" x14ac:dyDescent="0.2">
      <c r="A43" t="s">
        <v>43</v>
      </c>
    </row>
    <row r="44" spans="1:23" x14ac:dyDescent="0.2">
      <c r="A44" t="s">
        <v>22</v>
      </c>
      <c r="E44" t="s">
        <v>44</v>
      </c>
    </row>
    <row r="45" spans="1:23" x14ac:dyDescent="0.2">
      <c r="A45" t="s">
        <v>45</v>
      </c>
      <c r="E45">
        <v>488</v>
      </c>
      <c r="F45" t="s">
        <v>25</v>
      </c>
    </row>
    <row r="46" spans="1:23" x14ac:dyDescent="0.2">
      <c r="A46" t="s">
        <v>46</v>
      </c>
      <c r="E46">
        <v>520</v>
      </c>
      <c r="F46" t="s">
        <v>25</v>
      </c>
    </row>
    <row r="47" spans="1:23" x14ac:dyDescent="0.2">
      <c r="A47" t="s">
        <v>47</v>
      </c>
      <c r="E47">
        <v>9</v>
      </c>
      <c r="F47" t="s">
        <v>25</v>
      </c>
    </row>
    <row r="48" spans="1:23" x14ac:dyDescent="0.2">
      <c r="A48" t="s">
        <v>48</v>
      </c>
      <c r="E48">
        <v>20</v>
      </c>
      <c r="F48" t="s">
        <v>25</v>
      </c>
    </row>
    <row r="49" spans="1:12" x14ac:dyDescent="0.2">
      <c r="A49" t="s">
        <v>49</v>
      </c>
      <c r="E49">
        <v>50</v>
      </c>
      <c r="F49" t="s">
        <v>50</v>
      </c>
    </row>
    <row r="50" spans="1:12" x14ac:dyDescent="0.2">
      <c r="A50" t="s">
        <v>27</v>
      </c>
      <c r="E50">
        <v>25</v>
      </c>
    </row>
    <row r="51" spans="1:12" x14ac:dyDescent="0.2">
      <c r="A51" t="s">
        <v>51</v>
      </c>
      <c r="E51">
        <v>20</v>
      </c>
      <c r="F51" t="s">
        <v>52</v>
      </c>
    </row>
    <row r="52" spans="1:12" x14ac:dyDescent="0.2">
      <c r="A52" t="s">
        <v>53</v>
      </c>
      <c r="E52">
        <v>0</v>
      </c>
      <c r="F52" t="s">
        <v>52</v>
      </c>
    </row>
    <row r="53" spans="1:12" x14ac:dyDescent="0.2">
      <c r="A53" t="s">
        <v>28</v>
      </c>
      <c r="E53">
        <v>0</v>
      </c>
      <c r="F53" t="s">
        <v>29</v>
      </c>
    </row>
    <row r="54" spans="1:12" x14ac:dyDescent="0.2">
      <c r="A54" t="s">
        <v>54</v>
      </c>
      <c r="E54">
        <v>20000</v>
      </c>
      <c r="F54" t="s">
        <v>55</v>
      </c>
    </row>
    <row r="55" spans="1:12" x14ac:dyDescent="0.2">
      <c r="A55" t="s">
        <v>30</v>
      </c>
      <c r="E55" t="s">
        <v>31</v>
      </c>
    </row>
    <row r="56" spans="1:12" x14ac:dyDescent="0.2">
      <c r="A56" t="s">
        <v>32</v>
      </c>
      <c r="B56" s="2" t="s">
        <v>56</v>
      </c>
    </row>
    <row r="58" spans="1:12" x14ac:dyDescent="0.2">
      <c r="B58" t="s">
        <v>34</v>
      </c>
    </row>
    <row r="59" spans="1:12" x14ac:dyDescent="0.2">
      <c r="A59" s="4" t="s">
        <v>35</v>
      </c>
      <c r="B59" s="4">
        <v>2</v>
      </c>
      <c r="C59" s="4">
        <v>3</v>
      </c>
      <c r="D59" s="4">
        <v>4</v>
      </c>
      <c r="E59" s="4">
        <v>5</v>
      </c>
      <c r="F59" s="4">
        <v>6</v>
      </c>
      <c r="G59" s="4">
        <v>7</v>
      </c>
      <c r="H59" s="4">
        <v>8</v>
      </c>
      <c r="I59" s="4">
        <v>9</v>
      </c>
      <c r="J59" s="4">
        <v>10</v>
      </c>
      <c r="K59" s="4">
        <v>11</v>
      </c>
      <c r="L59" s="4">
        <v>12</v>
      </c>
    </row>
    <row r="60" spans="1:12" x14ac:dyDescent="0.2">
      <c r="A60" s="4" t="s">
        <v>36</v>
      </c>
      <c r="B60">
        <v>120</v>
      </c>
      <c r="C60">
        <v>497</v>
      </c>
      <c r="D60">
        <v>263</v>
      </c>
      <c r="E60">
        <v>536</v>
      </c>
      <c r="F60">
        <v>142</v>
      </c>
      <c r="G60">
        <v>120</v>
      </c>
      <c r="H60">
        <v>351</v>
      </c>
      <c r="I60">
        <v>297</v>
      </c>
      <c r="J60">
        <v>280</v>
      </c>
      <c r="K60">
        <v>118</v>
      </c>
      <c r="L60">
        <v>73</v>
      </c>
    </row>
    <row r="61" spans="1:12" x14ac:dyDescent="0.2">
      <c r="A61" s="4" t="s">
        <v>37</v>
      </c>
      <c r="B61">
        <v>116</v>
      </c>
      <c r="C61">
        <v>504</v>
      </c>
      <c r="D61">
        <v>263</v>
      </c>
      <c r="E61">
        <v>524</v>
      </c>
      <c r="F61">
        <v>132</v>
      </c>
      <c r="G61">
        <v>114</v>
      </c>
      <c r="H61">
        <v>523</v>
      </c>
      <c r="I61">
        <v>302</v>
      </c>
      <c r="J61">
        <v>159</v>
      </c>
      <c r="K61">
        <v>141</v>
      </c>
      <c r="L61">
        <v>73</v>
      </c>
    </row>
    <row r="62" spans="1:12" x14ac:dyDescent="0.2">
      <c r="A62" s="4" t="s">
        <v>38</v>
      </c>
      <c r="B62">
        <v>116</v>
      </c>
      <c r="C62">
        <v>409</v>
      </c>
      <c r="D62">
        <v>276</v>
      </c>
      <c r="E62">
        <v>413</v>
      </c>
      <c r="F62">
        <v>136</v>
      </c>
      <c r="G62">
        <v>117</v>
      </c>
      <c r="H62">
        <v>319</v>
      </c>
      <c r="I62">
        <v>288</v>
      </c>
      <c r="J62">
        <v>399</v>
      </c>
      <c r="K62">
        <v>139</v>
      </c>
      <c r="L62">
        <v>76</v>
      </c>
    </row>
    <row r="63" spans="1:12" x14ac:dyDescent="0.2">
      <c r="A63" s="4" t="s">
        <v>39</v>
      </c>
      <c r="B63">
        <v>127</v>
      </c>
      <c r="C63">
        <v>504</v>
      </c>
      <c r="D63">
        <v>243</v>
      </c>
      <c r="E63">
        <v>460</v>
      </c>
      <c r="F63">
        <v>142</v>
      </c>
      <c r="G63">
        <v>125</v>
      </c>
      <c r="H63">
        <v>495</v>
      </c>
      <c r="I63">
        <v>331</v>
      </c>
      <c r="J63">
        <v>376</v>
      </c>
      <c r="K63">
        <v>146</v>
      </c>
      <c r="L63">
        <v>7</v>
      </c>
    </row>
    <row r="64" spans="1:12" x14ac:dyDescent="0.2">
      <c r="A64" s="4" t="s">
        <v>40</v>
      </c>
      <c r="B64">
        <v>126</v>
      </c>
      <c r="C64">
        <v>496</v>
      </c>
      <c r="D64">
        <v>261</v>
      </c>
      <c r="E64">
        <v>431</v>
      </c>
      <c r="F64">
        <v>148</v>
      </c>
      <c r="G64">
        <v>127</v>
      </c>
      <c r="H64">
        <v>460</v>
      </c>
      <c r="I64">
        <v>328</v>
      </c>
      <c r="J64">
        <v>403</v>
      </c>
      <c r="K64">
        <v>142</v>
      </c>
      <c r="L64">
        <v>8</v>
      </c>
    </row>
    <row r="67" spans="1:23" x14ac:dyDescent="0.2">
      <c r="N67" s="19" t="s">
        <v>65</v>
      </c>
      <c r="O67" s="19"/>
      <c r="P67" s="19"/>
      <c r="Q67" s="19"/>
      <c r="R67" t="s">
        <v>66</v>
      </c>
      <c r="S67" s="19" t="s">
        <v>65</v>
      </c>
      <c r="T67" s="19"/>
      <c r="U67" s="19"/>
      <c r="V67" s="19"/>
      <c r="W67" t="s">
        <v>66</v>
      </c>
    </row>
    <row r="68" spans="1:23" x14ac:dyDescent="0.2">
      <c r="N68" s="19" t="s">
        <v>67</v>
      </c>
      <c r="O68" s="19"/>
      <c r="P68" s="19"/>
      <c r="Q68" s="19"/>
      <c r="R68" s="19"/>
      <c r="S68" s="19" t="s">
        <v>68</v>
      </c>
      <c r="T68" s="19"/>
      <c r="U68" s="19"/>
      <c r="V68" s="19"/>
      <c r="W68" s="19"/>
    </row>
    <row r="69" spans="1:23" ht="16" thickBot="1" x14ac:dyDescent="0.25">
      <c r="A69" t="s">
        <v>41</v>
      </c>
      <c r="B69" s="2" t="s">
        <v>57</v>
      </c>
      <c r="N69" t="s">
        <v>69</v>
      </c>
      <c r="O69" t="s">
        <v>70</v>
      </c>
      <c r="P69" t="s">
        <v>71</v>
      </c>
      <c r="Q69" t="s">
        <v>72</v>
      </c>
      <c r="R69" t="s">
        <v>73</v>
      </c>
      <c r="S69" t="s">
        <v>69</v>
      </c>
      <c r="T69" t="s">
        <v>70</v>
      </c>
      <c r="U69" t="s">
        <v>71</v>
      </c>
      <c r="V69" t="s">
        <v>72</v>
      </c>
      <c r="W69" t="s">
        <v>73</v>
      </c>
    </row>
    <row r="70" spans="1:23" x14ac:dyDescent="0.2">
      <c r="N70" s="6">
        <f>N91/N29</f>
        <v>1301.6489423712512</v>
      </c>
      <c r="O70" s="7">
        <f t="shared" ref="O70:W70" si="10">O91/O29</f>
        <v>11635.622362945018</v>
      </c>
      <c r="P70" s="7">
        <f t="shared" si="10"/>
        <v>5310.1542613660868</v>
      </c>
      <c r="Q70" s="7">
        <f t="shared" si="10"/>
        <v>12868.232134142761</v>
      </c>
      <c r="R70" s="8">
        <f t="shared" si="10"/>
        <v>2383.5214109093272</v>
      </c>
      <c r="S70" s="6">
        <f t="shared" si="10"/>
        <v>1392.021730811927</v>
      </c>
      <c r="T70" s="7">
        <f t="shared" si="10"/>
        <v>10846.07940065488</v>
      </c>
      <c r="U70" s="7">
        <f t="shared" si="10"/>
        <v>7890.2168174350354</v>
      </c>
      <c r="V70" s="7">
        <f t="shared" si="10"/>
        <v>9287.8572248749406</v>
      </c>
      <c r="W70" s="8">
        <f t="shared" si="10"/>
        <v>2337.9970040037583</v>
      </c>
    </row>
    <row r="71" spans="1:23" x14ac:dyDescent="0.2">
      <c r="N71" s="9">
        <f t="shared" ref="N71:W74" si="11">N92/N30</f>
        <v>1204.0633158318064</v>
      </c>
      <c r="O71">
        <f t="shared" si="11"/>
        <v>11923.829685394729</v>
      </c>
      <c r="P71">
        <f t="shared" si="11"/>
        <v>5503.7254920709911</v>
      </c>
      <c r="Q71">
        <f t="shared" si="11"/>
        <v>16835.259972180225</v>
      </c>
      <c r="R71" s="10">
        <f t="shared" si="11"/>
        <v>2377.9528468120138</v>
      </c>
      <c r="S71" s="9">
        <f t="shared" si="11"/>
        <v>1331.3179885267114</v>
      </c>
      <c r="T71">
        <f t="shared" si="11"/>
        <v>12347.422875571363</v>
      </c>
      <c r="U71">
        <f t="shared" si="11"/>
        <v>6885.2982534034099</v>
      </c>
      <c r="V71">
        <f t="shared" si="11"/>
        <v>3016.668692024336</v>
      </c>
      <c r="W71" s="10">
        <f t="shared" si="11"/>
        <v>2505.5317176074423</v>
      </c>
    </row>
    <row r="72" spans="1:23" x14ac:dyDescent="0.2">
      <c r="N72" s="9">
        <f t="shared" si="11"/>
        <v>1211.7176396491118</v>
      </c>
      <c r="O72">
        <f t="shared" si="11"/>
        <v>10669.441695768179</v>
      </c>
      <c r="P72">
        <f t="shared" si="11"/>
        <v>5898.0181424193734</v>
      </c>
      <c r="Q72">
        <f t="shared" si="11"/>
        <v>11993.999384323879</v>
      </c>
      <c r="R72" s="10">
        <f t="shared" si="11"/>
        <v>2275.2992941192638</v>
      </c>
      <c r="S72" s="9">
        <f t="shared" si="11"/>
        <v>1370.649862530488</v>
      </c>
      <c r="T72">
        <f t="shared" si="11"/>
        <v>9838.1828955021192</v>
      </c>
      <c r="U72">
        <f t="shared" si="11"/>
        <v>7017.4015202125374</v>
      </c>
      <c r="V72">
        <f t="shared" si="11"/>
        <v>11811.398492777793</v>
      </c>
      <c r="W72" s="10">
        <f t="shared" si="11"/>
        <v>2424.686656805452</v>
      </c>
    </row>
    <row r="73" spans="1:23" x14ac:dyDescent="0.2">
      <c r="N73" s="9">
        <f t="shared" si="11"/>
        <v>1437.1790272112455</v>
      </c>
      <c r="O73">
        <f t="shared" si="11"/>
        <v>11647.579781607899</v>
      </c>
      <c r="P73">
        <f t="shared" si="11"/>
        <v>5209.5613569775342</v>
      </c>
      <c r="Q73">
        <f t="shared" si="11"/>
        <v>13070.06953040533</v>
      </c>
      <c r="R73" s="10">
        <f t="shared" si="11"/>
        <v>2437.8744333990016</v>
      </c>
      <c r="S73" s="9">
        <f t="shared" si="11"/>
        <v>1558.8524032588321</v>
      </c>
      <c r="T73">
        <f t="shared" si="11"/>
        <v>12188.10946406214</v>
      </c>
      <c r="U73">
        <f t="shared" si="11"/>
        <v>8136.0514436485182</v>
      </c>
      <c r="V73">
        <f t="shared" si="11"/>
        <v>12132.782429508768</v>
      </c>
      <c r="W73" s="10">
        <f t="shared" si="11"/>
        <v>2480.8091092499521</v>
      </c>
    </row>
    <row r="74" spans="1:23" ht="16" thickBot="1" x14ac:dyDescent="0.25">
      <c r="A74" t="s">
        <v>58</v>
      </c>
      <c r="N74" s="11">
        <f t="shared" si="11"/>
        <v>1410.7805389994069</v>
      </c>
      <c r="O74" s="12">
        <f t="shared" si="11"/>
        <v>12052.29560277955</v>
      </c>
      <c r="P74" s="12">
        <f t="shared" si="11"/>
        <v>5258.9921985244637</v>
      </c>
      <c r="Q74" s="12">
        <f t="shared" si="11"/>
        <v>14540.60281959484</v>
      </c>
      <c r="R74" s="13">
        <f t="shared" si="11"/>
        <v>2433.4467251213109</v>
      </c>
      <c r="S74" s="11">
        <f t="shared" si="11"/>
        <v>1545.7776247907477</v>
      </c>
      <c r="T74" s="12">
        <f t="shared" si="11"/>
        <v>12129.806452892557</v>
      </c>
      <c r="U74" s="12">
        <f t="shared" si="11"/>
        <v>7487.264390554039</v>
      </c>
      <c r="V74" s="12">
        <f t="shared" si="11"/>
        <v>12589.321868104842</v>
      </c>
      <c r="W74" s="13">
        <f t="shared" si="11"/>
        <v>2428.1391471475749</v>
      </c>
    </row>
    <row r="75" spans="1:23" x14ac:dyDescent="0.2">
      <c r="A75" t="s">
        <v>22</v>
      </c>
      <c r="E75" t="s">
        <v>44</v>
      </c>
    </row>
    <row r="76" spans="1:23" x14ac:dyDescent="0.2">
      <c r="A76" t="s">
        <v>45</v>
      </c>
      <c r="E76">
        <v>488</v>
      </c>
      <c r="F76" t="s">
        <v>25</v>
      </c>
      <c r="N76">
        <f t="shared" ref="N76:W76" si="12">AVERAGE(N70:N74)</f>
        <v>1313.0778928125644</v>
      </c>
      <c r="O76">
        <f t="shared" si="12"/>
        <v>11585.753825699076</v>
      </c>
      <c r="P76">
        <f t="shared" si="12"/>
        <v>5436.0902902716898</v>
      </c>
      <c r="Q76">
        <f t="shared" si="12"/>
        <v>13861.632768129406</v>
      </c>
      <c r="R76">
        <f t="shared" si="12"/>
        <v>2381.6189420721835</v>
      </c>
      <c r="S76">
        <f t="shared" si="12"/>
        <v>1439.7239219837411</v>
      </c>
      <c r="T76">
        <f t="shared" si="12"/>
        <v>11469.920217736613</v>
      </c>
      <c r="U76">
        <f t="shared" si="12"/>
        <v>7483.2464850507076</v>
      </c>
      <c r="V76">
        <f t="shared" si="12"/>
        <v>9767.6057414581355</v>
      </c>
      <c r="W76">
        <f t="shared" si="12"/>
        <v>2435.4327269628361</v>
      </c>
    </row>
    <row r="77" spans="1:23" x14ac:dyDescent="0.2">
      <c r="A77" t="s">
        <v>46</v>
      </c>
      <c r="E77">
        <v>520</v>
      </c>
      <c r="F77" t="s">
        <v>25</v>
      </c>
    </row>
    <row r="78" spans="1:23" x14ac:dyDescent="0.2">
      <c r="A78" t="s">
        <v>47</v>
      </c>
      <c r="E78">
        <v>9</v>
      </c>
      <c r="F78" t="s">
        <v>25</v>
      </c>
      <c r="M78" t="s">
        <v>76</v>
      </c>
      <c r="N78" s="14">
        <f>N76/974</f>
        <v>1.3481292534009901</v>
      </c>
      <c r="O78" s="15">
        <f>O76/10336</f>
        <v>1.120912715334663</v>
      </c>
      <c r="P78" s="15">
        <f>P76/16798</f>
        <v>0.32361532862672282</v>
      </c>
      <c r="Q78" s="15">
        <f>Q76/40900</f>
        <v>0.33891522660463097</v>
      </c>
      <c r="R78" s="14">
        <f>R76/1809</f>
        <v>1.3165389397856182</v>
      </c>
      <c r="S78">
        <f>S76/895</f>
        <v>1.608630080428761</v>
      </c>
      <c r="T78" s="15">
        <f>T76/10832</f>
        <v>1.0588921914454037</v>
      </c>
      <c r="U78" s="15">
        <f>U76/17626</f>
        <v>0.42455727249805442</v>
      </c>
      <c r="V78" s="15">
        <f>V76/52231</f>
        <v>0.18700782564871696</v>
      </c>
      <c r="W78">
        <f>W76/1938</f>
        <v>1.2566732337269537</v>
      </c>
    </row>
    <row r="79" spans="1:23" x14ac:dyDescent="0.2">
      <c r="A79" t="s">
        <v>48</v>
      </c>
      <c r="E79">
        <v>20</v>
      </c>
      <c r="F79" t="s">
        <v>25</v>
      </c>
      <c r="N79" s="14"/>
      <c r="O79" s="15"/>
      <c r="P79" s="15"/>
      <c r="Q79" s="15"/>
      <c r="R79" s="14"/>
      <c r="T79" s="15"/>
      <c r="U79" s="15"/>
      <c r="V79" s="15"/>
    </row>
    <row r="80" spans="1:23" x14ac:dyDescent="0.2">
      <c r="A80" t="s">
        <v>49</v>
      </c>
      <c r="E80">
        <v>80</v>
      </c>
      <c r="F80" t="s">
        <v>50</v>
      </c>
      <c r="O80">
        <v>0.76480811530581838</v>
      </c>
      <c r="P80">
        <v>0.27963033866450804</v>
      </c>
      <c r="Q80">
        <v>2.5762064429055653E-2</v>
      </c>
      <c r="T80">
        <v>0.47405271129345883</v>
      </c>
      <c r="U80">
        <v>0.12721054123881126</v>
      </c>
      <c r="V80">
        <v>1.7987497954172215E-2</v>
      </c>
    </row>
    <row r="81" spans="1:23" x14ac:dyDescent="0.2">
      <c r="A81" t="s">
        <v>27</v>
      </c>
      <c r="E81">
        <v>25</v>
      </c>
    </row>
    <row r="82" spans="1:23" x14ac:dyDescent="0.2">
      <c r="A82" t="s">
        <v>51</v>
      </c>
      <c r="E82">
        <v>20</v>
      </c>
      <c r="F82" t="s">
        <v>52</v>
      </c>
    </row>
    <row r="83" spans="1:23" x14ac:dyDescent="0.2">
      <c r="A83" t="s">
        <v>53</v>
      </c>
      <c r="E83">
        <v>0</v>
      </c>
      <c r="F83" t="s">
        <v>52</v>
      </c>
      <c r="M83" t="s">
        <v>77</v>
      </c>
      <c r="N83">
        <v>804.94499442709639</v>
      </c>
      <c r="O83">
        <v>10229.199524165497</v>
      </c>
      <c r="P83">
        <v>3721.9381676354701</v>
      </c>
      <c r="Q83">
        <v>4614.626312008787</v>
      </c>
      <c r="R83">
        <v>1648.8781995715763</v>
      </c>
      <c r="S83">
        <v>969.05473065601416</v>
      </c>
      <c r="T83">
        <v>5868.7973572408619</v>
      </c>
      <c r="U83">
        <v>3188.9289710326698</v>
      </c>
      <c r="V83">
        <v>1718.5203187730622</v>
      </c>
      <c r="W83">
        <v>1575.9626984591391</v>
      </c>
    </row>
    <row r="84" spans="1:23" x14ac:dyDescent="0.2">
      <c r="A84" t="s">
        <v>28</v>
      </c>
      <c r="E84">
        <v>0</v>
      </c>
      <c r="F84" t="s">
        <v>29</v>
      </c>
      <c r="M84" t="s">
        <v>78</v>
      </c>
      <c r="N84">
        <f>N76/N83</f>
        <v>1.6312641260004623</v>
      </c>
      <c r="O84" s="14">
        <f t="shared" ref="O84:W84" si="13">O76/O83</f>
        <v>1.1326158804830084</v>
      </c>
      <c r="P84" s="14">
        <f t="shared" si="13"/>
        <v>1.4605536270166499</v>
      </c>
      <c r="Q84" s="14">
        <f>Q76/Q83</f>
        <v>3.0038472957294164</v>
      </c>
      <c r="R84">
        <f t="shared" si="13"/>
        <v>1.444387428186626</v>
      </c>
      <c r="S84">
        <f t="shared" si="13"/>
        <v>1.4856992865708434</v>
      </c>
      <c r="T84" s="14">
        <f t="shared" si="13"/>
        <v>1.9543902301525446</v>
      </c>
      <c r="U84" s="14">
        <f t="shared" si="13"/>
        <v>2.3466331652496515</v>
      </c>
      <c r="V84" s="14">
        <f>V76/V83</f>
        <v>5.6837301454961668</v>
      </c>
      <c r="W84">
        <f t="shared" si="13"/>
        <v>1.5453619107508216</v>
      </c>
    </row>
    <row r="85" spans="1:23" x14ac:dyDescent="0.2">
      <c r="A85" t="s">
        <v>54</v>
      </c>
      <c r="E85">
        <v>20000</v>
      </c>
      <c r="F85" t="s">
        <v>55</v>
      </c>
    </row>
    <row r="86" spans="1:23" ht="16" thickBot="1" x14ac:dyDescent="0.25">
      <c r="A86" t="s">
        <v>30</v>
      </c>
      <c r="E86" t="s">
        <v>31</v>
      </c>
      <c r="M86" t="s">
        <v>74</v>
      </c>
      <c r="N86">
        <v>1332.2986394617906</v>
      </c>
      <c r="O86">
        <v>12151.597751635452</v>
      </c>
      <c r="P86">
        <v>9983.4982568661017</v>
      </c>
      <c r="Q86">
        <v>14005.697216489109</v>
      </c>
      <c r="R86">
        <v>2266.3493807658733</v>
      </c>
      <c r="S86">
        <v>1359.7443166378155</v>
      </c>
      <c r="T86">
        <v>12702.261450492337</v>
      </c>
      <c r="U86">
        <v>11913.199206990072</v>
      </c>
      <c r="V86">
        <v>11945.967625454212</v>
      </c>
      <c r="W86">
        <v>2461.8538792303502</v>
      </c>
    </row>
    <row r="87" spans="1:23" ht="16" thickBot="1" x14ac:dyDescent="0.25">
      <c r="A87" t="s">
        <v>32</v>
      </c>
      <c r="B87" s="2" t="s">
        <v>59</v>
      </c>
      <c r="M87" t="s">
        <v>75</v>
      </c>
      <c r="N87" s="16">
        <f>N76/N86</f>
        <v>0.98557324455649764</v>
      </c>
      <c r="O87" s="17">
        <f t="shared" ref="O87:W87" si="14">O76/O86</f>
        <v>0.95343460691329907</v>
      </c>
      <c r="P87" s="17">
        <f t="shared" si="14"/>
        <v>0.54450756141846823</v>
      </c>
      <c r="Q87" s="17">
        <f t="shared" si="14"/>
        <v>0.98971386814002427</v>
      </c>
      <c r="R87" s="18">
        <f t="shared" si="14"/>
        <v>1.0508613377463261</v>
      </c>
      <c r="S87" s="16">
        <f t="shared" si="14"/>
        <v>1.0588195915712213</v>
      </c>
      <c r="T87" s="17">
        <f t="shared" si="14"/>
        <v>0.90298253286953423</v>
      </c>
      <c r="U87" s="17">
        <f t="shared" si="14"/>
        <v>0.62814751562786864</v>
      </c>
      <c r="V87" s="17">
        <f t="shared" si="14"/>
        <v>0.81764877050608531</v>
      </c>
      <c r="W87" s="18">
        <f t="shared" si="14"/>
        <v>0.98926778210095301</v>
      </c>
    </row>
    <row r="89" spans="1:23" x14ac:dyDescent="0.2">
      <c r="B89" t="s">
        <v>34</v>
      </c>
    </row>
    <row r="90" spans="1:23" x14ac:dyDescent="0.2">
      <c r="A90" s="4" t="s">
        <v>35</v>
      </c>
      <c r="B90" s="4">
        <v>2</v>
      </c>
      <c r="C90" s="4">
        <v>3</v>
      </c>
      <c r="D90" s="4">
        <v>4</v>
      </c>
      <c r="E90" s="4">
        <v>5</v>
      </c>
      <c r="F90" s="4">
        <v>6</v>
      </c>
      <c r="G90" s="4">
        <v>7</v>
      </c>
      <c r="H90" s="4">
        <v>8</v>
      </c>
      <c r="I90" s="4">
        <v>9</v>
      </c>
      <c r="J90" s="4">
        <v>10</v>
      </c>
      <c r="K90" s="4">
        <v>11</v>
      </c>
      <c r="L90" s="4">
        <v>12</v>
      </c>
    </row>
    <row r="91" spans="1:23" x14ac:dyDescent="0.2">
      <c r="A91" s="4" t="s">
        <v>36</v>
      </c>
      <c r="B91">
        <v>3436</v>
      </c>
      <c r="C91">
        <v>14088</v>
      </c>
      <c r="D91">
        <v>7470</v>
      </c>
      <c r="E91">
        <v>15190</v>
      </c>
      <c r="F91">
        <v>4038</v>
      </c>
      <c r="G91">
        <v>3427</v>
      </c>
      <c r="H91">
        <v>9965</v>
      </c>
      <c r="I91">
        <v>8433</v>
      </c>
      <c r="J91">
        <v>7976</v>
      </c>
      <c r="K91">
        <v>3364</v>
      </c>
      <c r="L91">
        <v>2080</v>
      </c>
      <c r="N91">
        <f>B91-2094</f>
        <v>1342</v>
      </c>
      <c r="O91">
        <f t="shared" ref="O91:O95" si="15">C91-2094</f>
        <v>11994</v>
      </c>
      <c r="P91">
        <f t="shared" ref="P91:P95" si="16">D91-2094</f>
        <v>5376</v>
      </c>
      <c r="Q91">
        <f t="shared" ref="Q91:Q95" si="17">E91-2094</f>
        <v>13096</v>
      </c>
      <c r="R91">
        <f t="shared" ref="R91:R95" si="18">F91-2094</f>
        <v>1944</v>
      </c>
      <c r="S91">
        <f t="shared" ref="S91:S95" si="19">G91-2094</f>
        <v>1333</v>
      </c>
      <c r="T91">
        <f t="shared" ref="T91:T95" si="20">H91-2094</f>
        <v>7871</v>
      </c>
      <c r="U91">
        <f t="shared" ref="U91:U95" si="21">I91-2094</f>
        <v>6339</v>
      </c>
      <c r="V91">
        <f t="shared" ref="V91:V95" si="22">J91-2094</f>
        <v>5882</v>
      </c>
      <c r="W91">
        <f t="shared" ref="W91:W95" si="23">K91-2094</f>
        <v>1270</v>
      </c>
    </row>
    <row r="92" spans="1:23" x14ac:dyDescent="0.2">
      <c r="A92" s="4" t="s">
        <v>37</v>
      </c>
      <c r="B92">
        <v>3303</v>
      </c>
      <c r="C92">
        <v>14273</v>
      </c>
      <c r="D92">
        <v>7486</v>
      </c>
      <c r="E92">
        <v>14909</v>
      </c>
      <c r="F92">
        <v>3755</v>
      </c>
      <c r="G92">
        <v>3195</v>
      </c>
      <c r="H92">
        <v>14860</v>
      </c>
      <c r="I92">
        <v>8571</v>
      </c>
      <c r="J92">
        <v>4501</v>
      </c>
      <c r="K92">
        <v>4019</v>
      </c>
      <c r="L92">
        <v>2082</v>
      </c>
      <c r="N92">
        <f t="shared" ref="N92:N95" si="24">B92-2094</f>
        <v>1209</v>
      </c>
      <c r="O92">
        <f t="shared" si="15"/>
        <v>12179</v>
      </c>
      <c r="P92">
        <f t="shared" si="16"/>
        <v>5392</v>
      </c>
      <c r="Q92">
        <f t="shared" si="17"/>
        <v>12815</v>
      </c>
      <c r="R92">
        <f t="shared" si="18"/>
        <v>1661</v>
      </c>
      <c r="S92">
        <f t="shared" si="19"/>
        <v>1101</v>
      </c>
      <c r="T92">
        <f t="shared" si="20"/>
        <v>12766</v>
      </c>
      <c r="U92">
        <f t="shared" si="21"/>
        <v>6477</v>
      </c>
      <c r="V92">
        <f t="shared" si="22"/>
        <v>2407</v>
      </c>
      <c r="W92">
        <f t="shared" si="23"/>
        <v>1925</v>
      </c>
    </row>
    <row r="93" spans="1:23" x14ac:dyDescent="0.2">
      <c r="A93" s="4" t="s">
        <v>38</v>
      </c>
      <c r="B93">
        <v>3277</v>
      </c>
      <c r="C93">
        <v>11577</v>
      </c>
      <c r="D93">
        <v>7808</v>
      </c>
      <c r="E93">
        <v>11688</v>
      </c>
      <c r="F93">
        <v>3823</v>
      </c>
      <c r="G93">
        <v>3311</v>
      </c>
      <c r="H93">
        <v>9025</v>
      </c>
      <c r="I93">
        <v>8143</v>
      </c>
      <c r="J93">
        <v>11275</v>
      </c>
      <c r="K93">
        <v>3913</v>
      </c>
      <c r="L93">
        <v>2120</v>
      </c>
      <c r="N93">
        <f t="shared" si="24"/>
        <v>1183</v>
      </c>
      <c r="O93">
        <f t="shared" si="15"/>
        <v>9483</v>
      </c>
      <c r="P93">
        <f t="shared" si="16"/>
        <v>5714</v>
      </c>
      <c r="Q93">
        <f t="shared" si="17"/>
        <v>9594</v>
      </c>
      <c r="R93">
        <f t="shared" si="18"/>
        <v>1729</v>
      </c>
      <c r="S93">
        <f t="shared" si="19"/>
        <v>1217</v>
      </c>
      <c r="T93">
        <f t="shared" si="20"/>
        <v>6931</v>
      </c>
      <c r="U93">
        <f t="shared" si="21"/>
        <v>6049</v>
      </c>
      <c r="V93">
        <f t="shared" si="22"/>
        <v>9181</v>
      </c>
      <c r="W93">
        <f t="shared" si="23"/>
        <v>1819</v>
      </c>
    </row>
    <row r="94" spans="1:23" x14ac:dyDescent="0.2">
      <c r="A94" s="4" t="s">
        <v>39</v>
      </c>
      <c r="B94">
        <v>3549</v>
      </c>
      <c r="C94">
        <v>14197</v>
      </c>
      <c r="D94">
        <v>6867</v>
      </c>
      <c r="E94">
        <v>12950</v>
      </c>
      <c r="F94">
        <v>4007</v>
      </c>
      <c r="G94">
        <v>3523</v>
      </c>
      <c r="H94">
        <v>13964</v>
      </c>
      <c r="I94">
        <v>9318</v>
      </c>
      <c r="J94">
        <v>10610</v>
      </c>
      <c r="K94">
        <v>4130</v>
      </c>
      <c r="L94">
        <v>187</v>
      </c>
      <c r="N94">
        <f t="shared" si="24"/>
        <v>1455</v>
      </c>
      <c r="O94">
        <f t="shared" si="15"/>
        <v>12103</v>
      </c>
      <c r="P94">
        <f t="shared" si="16"/>
        <v>4773</v>
      </c>
      <c r="Q94">
        <f t="shared" si="17"/>
        <v>10856</v>
      </c>
      <c r="R94">
        <f t="shared" si="18"/>
        <v>1913</v>
      </c>
      <c r="S94">
        <f t="shared" si="19"/>
        <v>1429</v>
      </c>
      <c r="T94">
        <f t="shared" si="20"/>
        <v>11870</v>
      </c>
      <c r="U94">
        <f t="shared" si="21"/>
        <v>7224</v>
      </c>
      <c r="V94">
        <f t="shared" si="22"/>
        <v>8516</v>
      </c>
      <c r="W94">
        <f t="shared" si="23"/>
        <v>2036</v>
      </c>
    </row>
    <row r="95" spans="1:23" x14ac:dyDescent="0.2">
      <c r="A95" s="4" t="s">
        <v>40</v>
      </c>
      <c r="B95">
        <v>3578</v>
      </c>
      <c r="C95">
        <v>13986</v>
      </c>
      <c r="D95">
        <v>7343</v>
      </c>
      <c r="E95">
        <v>12175</v>
      </c>
      <c r="F95">
        <v>4169</v>
      </c>
      <c r="G95">
        <v>3573</v>
      </c>
      <c r="H95">
        <v>12915</v>
      </c>
      <c r="I95">
        <v>9296</v>
      </c>
      <c r="J95">
        <v>11361</v>
      </c>
      <c r="K95">
        <v>4020</v>
      </c>
      <c r="L95">
        <v>189</v>
      </c>
      <c r="N95">
        <f t="shared" si="24"/>
        <v>1484</v>
      </c>
      <c r="O95">
        <f t="shared" si="15"/>
        <v>11892</v>
      </c>
      <c r="P95">
        <f t="shared" si="16"/>
        <v>5249</v>
      </c>
      <c r="Q95">
        <f t="shared" si="17"/>
        <v>10081</v>
      </c>
      <c r="R95">
        <f t="shared" si="18"/>
        <v>2075</v>
      </c>
      <c r="S95">
        <f t="shared" si="19"/>
        <v>1479</v>
      </c>
      <c r="T95">
        <f t="shared" si="20"/>
        <v>10821</v>
      </c>
      <c r="U95">
        <f t="shared" si="21"/>
        <v>7202</v>
      </c>
      <c r="V95">
        <f t="shared" si="22"/>
        <v>9267</v>
      </c>
      <c r="W95">
        <f t="shared" si="23"/>
        <v>1926</v>
      </c>
    </row>
    <row r="97" spans="1:12" x14ac:dyDescent="0.2">
      <c r="L97">
        <f>AVERAGE(L91:L93)</f>
        <v>2094</v>
      </c>
    </row>
    <row r="100" spans="1:12" x14ac:dyDescent="0.2">
      <c r="A100" t="s">
        <v>41</v>
      </c>
      <c r="B100" s="2" t="s">
        <v>60</v>
      </c>
    </row>
    <row r="105" spans="1:12" x14ac:dyDescent="0.2">
      <c r="A105" t="s">
        <v>61</v>
      </c>
    </row>
    <row r="106" spans="1:12" x14ac:dyDescent="0.2">
      <c r="A106" t="s">
        <v>22</v>
      </c>
      <c r="E106" t="s">
        <v>44</v>
      </c>
    </row>
    <row r="107" spans="1:12" x14ac:dyDescent="0.2">
      <c r="A107" t="s">
        <v>45</v>
      </c>
      <c r="E107">
        <v>488</v>
      </c>
      <c r="F107" t="s">
        <v>25</v>
      </c>
    </row>
    <row r="108" spans="1:12" x14ac:dyDescent="0.2">
      <c r="A108" t="s">
        <v>46</v>
      </c>
      <c r="E108">
        <v>520</v>
      </c>
      <c r="F108" t="s">
        <v>25</v>
      </c>
    </row>
    <row r="109" spans="1:12" x14ac:dyDescent="0.2">
      <c r="A109" t="s">
        <v>47</v>
      </c>
      <c r="E109">
        <v>9</v>
      </c>
      <c r="F109" t="s">
        <v>25</v>
      </c>
    </row>
    <row r="110" spans="1:12" x14ac:dyDescent="0.2">
      <c r="A110" t="s">
        <v>48</v>
      </c>
      <c r="E110">
        <v>20</v>
      </c>
      <c r="F110" t="s">
        <v>25</v>
      </c>
    </row>
    <row r="111" spans="1:12" x14ac:dyDescent="0.2">
      <c r="A111" t="s">
        <v>49</v>
      </c>
      <c r="E111">
        <v>100</v>
      </c>
      <c r="F111" t="s">
        <v>50</v>
      </c>
    </row>
    <row r="112" spans="1:12" x14ac:dyDescent="0.2">
      <c r="A112" t="s">
        <v>27</v>
      </c>
      <c r="E112">
        <v>25</v>
      </c>
    </row>
    <row r="113" spans="1:12" x14ac:dyDescent="0.2">
      <c r="A113" t="s">
        <v>51</v>
      </c>
      <c r="E113">
        <v>20</v>
      </c>
      <c r="F113" t="s">
        <v>52</v>
      </c>
    </row>
    <row r="114" spans="1:12" x14ac:dyDescent="0.2">
      <c r="A114" t="s">
        <v>53</v>
      </c>
      <c r="E114">
        <v>0</v>
      </c>
      <c r="F114" t="s">
        <v>52</v>
      </c>
    </row>
    <row r="115" spans="1:12" x14ac:dyDescent="0.2">
      <c r="A115" t="s">
        <v>28</v>
      </c>
      <c r="E115">
        <v>0</v>
      </c>
      <c r="F115" t="s">
        <v>29</v>
      </c>
    </row>
    <row r="116" spans="1:12" x14ac:dyDescent="0.2">
      <c r="A116" t="s">
        <v>54</v>
      </c>
      <c r="E116">
        <v>20000</v>
      </c>
      <c r="F116" t="s">
        <v>55</v>
      </c>
    </row>
    <row r="117" spans="1:12" x14ac:dyDescent="0.2">
      <c r="A117" t="s">
        <v>30</v>
      </c>
      <c r="E117" t="s">
        <v>31</v>
      </c>
    </row>
    <row r="118" spans="1:12" x14ac:dyDescent="0.2">
      <c r="A118" t="s">
        <v>32</v>
      </c>
      <c r="B118" s="2" t="s">
        <v>62</v>
      </c>
    </row>
    <row r="120" spans="1:12" x14ac:dyDescent="0.2">
      <c r="B120" t="s">
        <v>34</v>
      </c>
    </row>
    <row r="121" spans="1:12" x14ac:dyDescent="0.2">
      <c r="A121" s="4" t="s">
        <v>35</v>
      </c>
      <c r="B121" s="4">
        <v>2</v>
      </c>
      <c r="C121" s="4">
        <v>3</v>
      </c>
      <c r="D121" s="4">
        <v>4</v>
      </c>
      <c r="E121" s="4">
        <v>5</v>
      </c>
      <c r="F121" s="4">
        <v>6</v>
      </c>
      <c r="G121" s="4">
        <v>7</v>
      </c>
      <c r="H121" s="4">
        <v>8</v>
      </c>
      <c r="I121" s="4">
        <v>9</v>
      </c>
      <c r="J121" s="4">
        <v>10</v>
      </c>
      <c r="K121" s="4">
        <v>11</v>
      </c>
      <c r="L121" s="4">
        <v>12</v>
      </c>
    </row>
    <row r="122" spans="1:12" x14ac:dyDescent="0.2">
      <c r="A122" s="4" t="s">
        <v>36</v>
      </c>
      <c r="B122">
        <v>16521</v>
      </c>
      <c r="C122" s="5" t="s">
        <v>63</v>
      </c>
      <c r="D122">
        <v>35717</v>
      </c>
      <c r="E122" s="5" t="s">
        <v>63</v>
      </c>
      <c r="F122">
        <v>19381</v>
      </c>
      <c r="G122">
        <v>16415</v>
      </c>
      <c r="H122">
        <v>47793</v>
      </c>
      <c r="I122">
        <v>40307</v>
      </c>
      <c r="J122">
        <v>38175</v>
      </c>
      <c r="K122">
        <v>16199</v>
      </c>
      <c r="L122">
        <v>9991</v>
      </c>
    </row>
    <row r="123" spans="1:12" x14ac:dyDescent="0.2">
      <c r="A123" s="4" t="s">
        <v>37</v>
      </c>
      <c r="B123">
        <v>15792</v>
      </c>
      <c r="C123" s="5" t="s">
        <v>63</v>
      </c>
      <c r="D123">
        <v>35786</v>
      </c>
      <c r="E123" s="5" t="s">
        <v>63</v>
      </c>
      <c r="F123">
        <v>18023</v>
      </c>
      <c r="G123">
        <v>15319</v>
      </c>
      <c r="H123" s="5" t="s">
        <v>63</v>
      </c>
      <c r="I123">
        <v>40855</v>
      </c>
      <c r="J123">
        <v>21526</v>
      </c>
      <c r="K123">
        <v>19232</v>
      </c>
      <c r="L123">
        <v>10007</v>
      </c>
    </row>
    <row r="124" spans="1:12" x14ac:dyDescent="0.2">
      <c r="A124" s="4" t="s">
        <v>38</v>
      </c>
      <c r="B124">
        <v>15737</v>
      </c>
      <c r="C124">
        <v>54895</v>
      </c>
      <c r="D124">
        <v>37188</v>
      </c>
      <c r="E124">
        <v>55676</v>
      </c>
      <c r="F124">
        <v>18451</v>
      </c>
      <c r="G124">
        <v>15913</v>
      </c>
      <c r="H124">
        <v>43188</v>
      </c>
      <c r="I124">
        <v>38989</v>
      </c>
      <c r="J124">
        <v>53756</v>
      </c>
      <c r="K124">
        <v>18847</v>
      </c>
      <c r="L124">
        <v>10182</v>
      </c>
    </row>
    <row r="125" spans="1:12" x14ac:dyDescent="0.2">
      <c r="A125" s="4" t="s">
        <v>39</v>
      </c>
      <c r="B125">
        <v>17054</v>
      </c>
      <c r="C125" s="5" t="s">
        <v>63</v>
      </c>
      <c r="D125">
        <v>33009</v>
      </c>
      <c r="E125">
        <v>61411</v>
      </c>
      <c r="F125">
        <v>19320</v>
      </c>
      <c r="G125">
        <v>16958</v>
      </c>
      <c r="H125" s="5" t="s">
        <v>63</v>
      </c>
      <c r="I125">
        <v>44490</v>
      </c>
      <c r="J125">
        <v>50669</v>
      </c>
      <c r="K125">
        <v>19822</v>
      </c>
      <c r="L125">
        <v>901</v>
      </c>
    </row>
    <row r="126" spans="1:12" x14ac:dyDescent="0.2">
      <c r="A126" s="4" t="s">
        <v>40</v>
      </c>
      <c r="B126">
        <v>17230</v>
      </c>
      <c r="C126" s="5" t="s">
        <v>63</v>
      </c>
      <c r="D126">
        <v>35186</v>
      </c>
      <c r="E126">
        <v>57782</v>
      </c>
      <c r="F126">
        <v>20127</v>
      </c>
      <c r="G126">
        <v>17209</v>
      </c>
      <c r="H126">
        <v>61361</v>
      </c>
      <c r="I126">
        <v>44259</v>
      </c>
      <c r="J126">
        <v>53974</v>
      </c>
      <c r="K126">
        <v>19350</v>
      </c>
      <c r="L126">
        <v>895</v>
      </c>
    </row>
    <row r="131" spans="1:2" x14ac:dyDescent="0.2">
      <c r="A131" t="s">
        <v>41</v>
      </c>
      <c r="B131" s="2" t="s">
        <v>64</v>
      </c>
    </row>
  </sheetData>
  <mergeCells count="4">
    <mergeCell ref="N67:Q67"/>
    <mergeCell ref="S67:V67"/>
    <mergeCell ref="N68:R68"/>
    <mergeCell ref="S68:W68"/>
  </mergeCells>
  <conditionalFormatting sqref="N70:W7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tet10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Yuanchi Ha</cp:lastModifiedBy>
  <dcterms:created xsi:type="dcterms:W3CDTF">2025-10-01T21:25:56Z</dcterms:created>
  <dcterms:modified xsi:type="dcterms:W3CDTF">2025-10-25T01:20:49Z</dcterms:modified>
</cp:coreProperties>
</file>