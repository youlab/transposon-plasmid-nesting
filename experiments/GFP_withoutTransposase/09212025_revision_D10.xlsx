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 defaultThemeVersion="124226"/>
  <xr:revisionPtr revIDLastSave="0" documentId="13_ncr:1_{F60B4BD4-D3CE-584C-9F5C-1C8D5F5C810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6" i="3" l="1"/>
  <c r="W87" i="3" s="1"/>
  <c r="V76" i="3"/>
  <c r="V84" i="3" s="1"/>
  <c r="W74" i="3"/>
  <c r="V74" i="3"/>
  <c r="U74" i="3"/>
  <c r="T74" i="3"/>
  <c r="S74" i="3"/>
  <c r="R74" i="3"/>
  <c r="Q74" i="3"/>
  <c r="P74" i="3"/>
  <c r="O74" i="3"/>
  <c r="N74" i="3"/>
  <c r="W73" i="3"/>
  <c r="V73" i="3"/>
  <c r="U73" i="3"/>
  <c r="T73" i="3"/>
  <c r="S73" i="3"/>
  <c r="R73" i="3"/>
  <c r="Q73" i="3"/>
  <c r="P73" i="3"/>
  <c r="O73" i="3"/>
  <c r="N73" i="3"/>
  <c r="W72" i="3"/>
  <c r="V72" i="3"/>
  <c r="U72" i="3"/>
  <c r="T72" i="3"/>
  <c r="S72" i="3"/>
  <c r="R72" i="3"/>
  <c r="Q72" i="3"/>
  <c r="P72" i="3"/>
  <c r="O72" i="3"/>
  <c r="N72" i="3"/>
  <c r="W71" i="3"/>
  <c r="V71" i="3"/>
  <c r="U71" i="3"/>
  <c r="T71" i="3"/>
  <c r="S71" i="3"/>
  <c r="R71" i="3"/>
  <c r="Q71" i="3"/>
  <c r="P71" i="3"/>
  <c r="O71" i="3"/>
  <c r="N71" i="3"/>
  <c r="W70" i="3"/>
  <c r="V70" i="3"/>
  <c r="U70" i="3"/>
  <c r="U76" i="3" s="1"/>
  <c r="T70" i="3"/>
  <c r="T76" i="3" s="1"/>
  <c r="S70" i="3"/>
  <c r="S76" i="3" s="1"/>
  <c r="R70" i="3"/>
  <c r="R76" i="3" s="1"/>
  <c r="Q70" i="3"/>
  <c r="Q76" i="3" s="1"/>
  <c r="P70" i="3"/>
  <c r="P76" i="3" s="1"/>
  <c r="O70" i="3"/>
  <c r="O76" i="3" s="1"/>
  <c r="N70" i="3"/>
  <c r="N76" i="3" s="1"/>
  <c r="W95" i="3"/>
  <c r="V95" i="3"/>
  <c r="U95" i="3"/>
  <c r="T95" i="3"/>
  <c r="S95" i="3"/>
  <c r="R95" i="3"/>
  <c r="Q95" i="3"/>
  <c r="P95" i="3"/>
  <c r="O95" i="3"/>
  <c r="W94" i="3"/>
  <c r="V94" i="3"/>
  <c r="U94" i="3"/>
  <c r="T94" i="3"/>
  <c r="S94" i="3"/>
  <c r="R94" i="3"/>
  <c r="Q94" i="3"/>
  <c r="P94" i="3"/>
  <c r="O94" i="3"/>
  <c r="W93" i="3"/>
  <c r="V93" i="3"/>
  <c r="U93" i="3"/>
  <c r="T93" i="3"/>
  <c r="S93" i="3"/>
  <c r="R93" i="3"/>
  <c r="Q93" i="3"/>
  <c r="P93" i="3"/>
  <c r="O93" i="3"/>
  <c r="W92" i="3"/>
  <c r="V92" i="3"/>
  <c r="U92" i="3"/>
  <c r="T92" i="3"/>
  <c r="S92" i="3"/>
  <c r="R92" i="3"/>
  <c r="Q92" i="3"/>
  <c r="P92" i="3"/>
  <c r="O92" i="3"/>
  <c r="W91" i="3"/>
  <c r="V91" i="3"/>
  <c r="U91" i="3"/>
  <c r="T91" i="3"/>
  <c r="S91" i="3"/>
  <c r="R91" i="3"/>
  <c r="Q91" i="3"/>
  <c r="P91" i="3"/>
  <c r="O91" i="3"/>
  <c r="N95" i="3"/>
  <c r="N94" i="3"/>
  <c r="N93" i="3"/>
  <c r="N92" i="3"/>
  <c r="N91" i="3"/>
  <c r="L97" i="3"/>
  <c r="W33" i="3"/>
  <c r="V33" i="3"/>
  <c r="U33" i="3"/>
  <c r="T33" i="3"/>
  <c r="S33" i="3"/>
  <c r="R33" i="3"/>
  <c r="Q33" i="3"/>
  <c r="P33" i="3"/>
  <c r="O33" i="3"/>
  <c r="W32" i="3"/>
  <c r="V32" i="3"/>
  <c r="U32" i="3"/>
  <c r="T32" i="3"/>
  <c r="S32" i="3"/>
  <c r="R32" i="3"/>
  <c r="Q32" i="3"/>
  <c r="P32" i="3"/>
  <c r="O32" i="3"/>
  <c r="W31" i="3"/>
  <c r="V31" i="3"/>
  <c r="U31" i="3"/>
  <c r="T31" i="3"/>
  <c r="S31" i="3"/>
  <c r="R31" i="3"/>
  <c r="Q31" i="3"/>
  <c r="P31" i="3"/>
  <c r="O31" i="3"/>
  <c r="W30" i="3"/>
  <c r="V30" i="3"/>
  <c r="U30" i="3"/>
  <c r="T30" i="3"/>
  <c r="S30" i="3"/>
  <c r="R30" i="3"/>
  <c r="Q30" i="3"/>
  <c r="P30" i="3"/>
  <c r="O30" i="3"/>
  <c r="W29" i="3"/>
  <c r="V29" i="3"/>
  <c r="U29" i="3"/>
  <c r="T29" i="3"/>
  <c r="S29" i="3"/>
  <c r="R29" i="3"/>
  <c r="Q29" i="3"/>
  <c r="P29" i="3"/>
  <c r="O29" i="3"/>
  <c r="N33" i="3"/>
  <c r="N32" i="3"/>
  <c r="N31" i="3"/>
  <c r="N30" i="3"/>
  <c r="N29" i="3"/>
  <c r="L35" i="3"/>
  <c r="U87" i="3" l="1"/>
  <c r="U78" i="3"/>
  <c r="U84" i="3"/>
  <c r="R87" i="3"/>
  <c r="R84" i="3"/>
  <c r="R78" i="3"/>
  <c r="S87" i="3"/>
  <c r="S78" i="3"/>
  <c r="S84" i="3"/>
  <c r="T78" i="3"/>
  <c r="T87" i="3"/>
  <c r="T84" i="3"/>
  <c r="N84" i="3"/>
  <c r="N87" i="3"/>
  <c r="N78" i="3"/>
  <c r="O87" i="3"/>
  <c r="O84" i="3"/>
  <c r="O78" i="3"/>
  <c r="P84" i="3"/>
  <c r="P87" i="3"/>
  <c r="P78" i="3"/>
  <c r="Q84" i="3"/>
  <c r="Q87" i="3"/>
  <c r="Q78" i="3"/>
  <c r="V78" i="3"/>
  <c r="W78" i="3"/>
  <c r="V87" i="3"/>
  <c r="W8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<sst xmlns="http://schemas.openxmlformats.org/spreadsheetml/2006/main" count="172" uniqueCount="79">
  <si>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</si>
  <si>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</si>
  <si>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</si>
  <si>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</si>
  <si>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</si>
  <si>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</si>
  <si>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</si>
  <si>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</si>
  <si>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</si>
  <si>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</si>
  <si>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</si>
  <si>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</si>
  <si>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</si>
  <si>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</si>
  <si>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</si>
  <si>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</si>
  <si>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</si>
  <si>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</si>
  <si>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</si>
  <si>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</si>
  <si>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</si>
  <si>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</si>
  <si>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</si>
  <si>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</si>
  <si>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</si>
  <si>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</si>
  <si>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</si>
  <si>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</si>
  <si>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</si>
  <si>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</si>
  <si>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</si>
  <si>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</si>
  <si>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&lt;&gt;</t>
  </si>
  <si>
    <t>B</t>
  </si>
  <si>
    <t>C</t>
  </si>
  <si>
    <t>D</t>
  </si>
  <si>
    <t>E</t>
  </si>
  <si>
    <t>F</t>
  </si>
  <si>
    <t>End Time:</t>
  </si>
  <si>
    <t>4:40:26 PM</t>
  </si>
  <si>
    <t>9/21/2025 4:40:31 PM</t>
  </si>
  <si>
    <t>Temperature: 26.6 °C</t>
  </si>
  <si>
    <t>9/21/2025 4:40:57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</si>
  <si>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</si>
  <si>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</si>
  <si>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</si>
  <si>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</si>
  <si>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</si>
  <si>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</si>
  <si>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</si>
  <si>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</si>
  <si>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</si>
  <si>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</si>
  <si>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</si>
  <si>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</si>
  <si>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</si>
  <si>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9/21/2025 4:41:02 PM</t>
  </si>
  <si>
    <t>9/21/2025 4:41:50 PM</t>
  </si>
  <si>
    <t>Label: gfp 80</t>
  </si>
  <si>
    <t>9/21/2025 4:41:57 PM</t>
  </si>
  <si>
    <t>9/21/2025 4:42:46 PM</t>
  </si>
  <si>
    <t>Label: gfp100</t>
  </si>
  <si>
    <t>9/21/2025 4:42:53 PM</t>
  </si>
  <si>
    <t>OVER</t>
  </si>
  <si>
    <t>9/21/2025 4:43:41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</si>
  <si>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</si>
  <si>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</si>
  <si>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</si>
  <si>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</si>
  <si>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</si>
  <si>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</si>
  <si>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</si>
  <si>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</si>
  <si>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</si>
  <si>
    <t>D5</t>
  </si>
  <si>
    <t>D7</t>
  </si>
  <si>
    <t>D10/D1</t>
  </si>
  <si>
    <t>D10/D5</t>
  </si>
  <si>
    <t>D10/D7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</si>
</sst>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A60" workbookViewId="0">
      <selection activeCell="M88" sqref="M88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45921</v>
      </c>
    </row>
    <row r="6" spans="1:12" x14ac:dyDescent="0.2">
      <c r="A6" t="s">
        <v>8</v>
      </c>
      <c r="B6" s="2" t="s">
        <v>39</v>
      </c>
    </row>
    <row r="9" spans="1:12" x14ac:dyDescent="0.2">
      <c r="A9" t="s">
        <v>9</v>
      </c>
      <c r="E9" t="s">
        <v>10</v>
      </c>
    </row>
    <row r="10" spans="1:12" x14ac:dyDescent="0.2">
      <c r="A10" t="s">
        <v>11</v>
      </c>
      <c r="E10" t="s">
        <v>12</v>
      </c>
    </row>
    <row r="11" spans="1:12" x14ac:dyDescent="0.2">
      <c r="A11" t="s">
        <v>13</v>
      </c>
      <c r="E11" t="s">
        <v>14</v>
      </c>
    </row>
    <row r="12" spans="1:12" x14ac:dyDescent="0.2">
      <c r="A12" t="s">
        <v>15</v>
      </c>
    </row>
    <row r="14" spans="1:12" x14ac:dyDescent="0.2">
      <c r="A14" s="3" t="s">
        <v>16</v>
      </c>
      <c r="B14" s="3"/>
      <c r="C14" s="3"/>
      <c r="D14" s="3"/>
      <c r="E14" s="3">
        <v>5</v>
      </c>
      <c r="F14" s="3" t="s">
        <v>17</v>
      </c>
      <c r="G14" s="3"/>
      <c r="H14" s="3"/>
      <c r="I14" s="3"/>
      <c r="J14" s="3"/>
      <c r="K14" s="3"/>
      <c r="L14" s="3"/>
    </row>
    <row r="15" spans="1:12" x14ac:dyDescent="0.2">
      <c r="A15" s="3" t="s">
        <v>18</v>
      </c>
      <c r="B15" s="3"/>
      <c r="C15" s="3"/>
      <c r="D15" s="3"/>
      <c r="E15" s="3">
        <v>2</v>
      </c>
      <c r="F15" s="3" t="s">
        <v>19</v>
      </c>
      <c r="G15" s="3"/>
      <c r="H15" s="3"/>
      <c r="I15" s="3"/>
      <c r="J15" s="3"/>
      <c r="K15" s="3"/>
      <c r="L15" s="3"/>
    </row>
    <row r="18" spans="1:23" x14ac:dyDescent="0.2">
      <c r="A18" t="s">
        <v>20</v>
      </c>
    </row>
    <row r="19" spans="1:23" x14ac:dyDescent="0.2">
      <c r="A19" t="s">
        <v>21</v>
      </c>
      <c r="E19" t="s">
        <v>22</v>
      </c>
    </row>
    <row r="20" spans="1:23" x14ac:dyDescent="0.2">
      <c r="A20" t="s">
        <v>23</v>
      </c>
      <c r="E20">
        <v>600</v>
      </c>
      <c r="F20" t="s">
        <v>24</v>
      </c>
    </row>
    <row r="21" spans="1:23" x14ac:dyDescent="0.2">
      <c r="A21" t="s">
        <v>25</v>
      </c>
      <c r="E21">
        <v>9</v>
      </c>
      <c r="F21" t="s">
        <v>24</v>
      </c>
    </row>
    <row r="22" spans="1:23" x14ac:dyDescent="0.2">
      <c r="A22" t="s">
        <v>26</v>
      </c>
      <c r="E22">
        <v>10</v>
      </c>
    </row>
    <row r="23" spans="1:23" x14ac:dyDescent="0.2">
      <c r="A23" t="s">
        <v>27</v>
      </c>
      <c r="E23">
        <v>0</v>
      </c>
      <c r="F23" t="s">
        <v>28</v>
      </c>
    </row>
    <row r="24" spans="1:23" x14ac:dyDescent="0.2">
      <c r="A24" t="s">
        <v>29</v>
      </c>
      <c r="E24" t="s">
        <v>30</v>
      </c>
    </row>
    <row r="25" spans="1:23" x14ac:dyDescent="0.2">
      <c r="A25" t="s">
        <v>31</v>
      </c>
      <c r="B25" s="2" t="s">
        <v>40</v>
      </c>
    </row>
    <row r="27" spans="1:23" x14ac:dyDescent="0.2">
      <c r="B27" t="s">
        <v>41</v>
      </c>
    </row>
    <row r="28" spans="1:23" x14ac:dyDescent="0.2">
      <c r="A28" s="4" t="s">
        <v>32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33</v>
      </c>
      <c r="B29">
        <v>0.90770000219345093</v>
      </c>
      <c r="C29">
        <v>1.1857999563217163</v>
      </c>
      <c r="D29">
        <v>1.0633000135421753</v>
      </c>
      <c r="E29">
        <v>1.0888999700546265</v>
      </c>
      <c r="F29">
        <v>0.98710000514984131</v>
      </c>
      <c r="G29">
        <v>0.83319997787475586</v>
      </c>
      <c r="H29">
        <v>1.0333000421524048</v>
      </c>
      <c r="I29">
        <v>1.1826000213623047</v>
      </c>
      <c r="J29">
        <v>1.1365000009536743</v>
      </c>
      <c r="K29">
        <v>0.84490001201629639</v>
      </c>
      <c r="L29">
        <v>4.1200000792741776E-2</v>
      </c>
      <c r="N29">
        <f t="shared" ref="N29:W33" si="0">B29-0.042</f>
        <v>0.86570000219345089</v>
      </c>
      <c r="O29">
        <f t="shared" si="0"/>
        <v>1.1437999563217163</v>
      </c>
      <c r="P29">
        <f t="shared" si="0"/>
        <v>1.0213000135421753</v>
      </c>
      <c r="Q29">
        <f t="shared" si="0"/>
        <v>1.0468999700546264</v>
      </c>
      <c r="R29">
        <f t="shared" si="0"/>
        <v>0.94510000514984127</v>
      </c>
      <c r="S29">
        <f t="shared" si="0"/>
        <v>0.79119997787475582</v>
      </c>
      <c r="T29">
        <f t="shared" si="0"/>
        <v>0.99130004215240475</v>
      </c>
      <c r="U29">
        <f t="shared" si="0"/>
        <v>1.1406000213623047</v>
      </c>
      <c r="V29">
        <f t="shared" si="0"/>
        <v>1.0945000009536743</v>
      </c>
      <c r="W29">
        <f t="shared" si="0"/>
        <v>0.80290001201629635</v>
      </c>
    </row>
    <row r="30" spans="1:23" x14ac:dyDescent="0.2">
      <c r="A30" s="4" t="s">
        <v>34</v>
      </c>
      <c r="B30">
        <v>1.1337000131607056</v>
      </c>
      <c r="C30">
        <v>1.1962000131607056</v>
      </c>
      <c r="D30">
        <v>1.1130000352859497</v>
      </c>
      <c r="E30">
        <v>0.93309998512268066</v>
      </c>
      <c r="F30">
        <v>1.1073000431060791</v>
      </c>
      <c r="G30">
        <v>1.0425000190734863</v>
      </c>
      <c r="H30">
        <v>1.0348000526428223</v>
      </c>
      <c r="I30">
        <v>1.0161999464035034</v>
      </c>
      <c r="J30">
        <v>1.136199951171875</v>
      </c>
      <c r="K30">
        <v>1.1186000108718872</v>
      </c>
      <c r="L30">
        <v>4.2399998754262924E-2</v>
      </c>
      <c r="N30">
        <f t="shared" si="0"/>
        <v>1.0917000131607055</v>
      </c>
      <c r="O30">
        <f t="shared" si="0"/>
        <v>1.1542000131607055</v>
      </c>
      <c r="P30">
        <f t="shared" si="0"/>
        <v>1.0710000352859497</v>
      </c>
      <c r="Q30">
        <f t="shared" si="0"/>
        <v>0.89109998512268063</v>
      </c>
      <c r="R30">
        <f t="shared" si="0"/>
        <v>1.0653000431060791</v>
      </c>
      <c r="S30">
        <f t="shared" si="0"/>
        <v>1.0005000190734863</v>
      </c>
      <c r="T30">
        <f t="shared" si="0"/>
        <v>0.99280005264282223</v>
      </c>
      <c r="U30">
        <f t="shared" si="0"/>
        <v>0.97419994640350338</v>
      </c>
      <c r="V30">
        <f t="shared" si="0"/>
        <v>1.094199951171875</v>
      </c>
      <c r="W30">
        <f t="shared" si="0"/>
        <v>1.0766000108718872</v>
      </c>
    </row>
    <row r="31" spans="1:23" x14ac:dyDescent="0.2">
      <c r="A31" s="4" t="s">
        <v>35</v>
      </c>
      <c r="B31">
        <v>1.0135999917984009</v>
      </c>
      <c r="C31">
        <v>1.0394999980926514</v>
      </c>
      <c r="D31">
        <v>1.0443999767303467</v>
      </c>
      <c r="E31">
        <v>0.98589998483657837</v>
      </c>
      <c r="F31">
        <v>1.093000054359436</v>
      </c>
      <c r="G31">
        <v>1.1663000583648682</v>
      </c>
      <c r="H31">
        <v>1.0994000434875488</v>
      </c>
      <c r="I31">
        <v>1.0361000299453735</v>
      </c>
      <c r="J31">
        <v>1.1424000263214111</v>
      </c>
      <c r="K31">
        <v>1.1230000257492065</v>
      </c>
      <c r="L31">
        <v>4.2199999094009399E-2</v>
      </c>
      <c r="N31">
        <f t="shared" si="0"/>
        <v>0.97159999179840084</v>
      </c>
      <c r="O31">
        <f t="shared" si="0"/>
        <v>0.99749999809265133</v>
      </c>
      <c r="P31">
        <f t="shared" si="0"/>
        <v>1.0023999767303466</v>
      </c>
      <c r="Q31">
        <f t="shared" si="0"/>
        <v>0.94389998483657833</v>
      </c>
      <c r="R31">
        <f t="shared" si="0"/>
        <v>1.051000054359436</v>
      </c>
      <c r="S31">
        <f t="shared" si="0"/>
        <v>1.1243000583648681</v>
      </c>
      <c r="T31">
        <f t="shared" si="0"/>
        <v>1.0574000434875488</v>
      </c>
      <c r="U31">
        <f t="shared" si="0"/>
        <v>0.9941000299453735</v>
      </c>
      <c r="V31">
        <f t="shared" si="0"/>
        <v>1.1004000263214111</v>
      </c>
      <c r="W31">
        <f t="shared" si="0"/>
        <v>1.0810000257492065</v>
      </c>
    </row>
    <row r="32" spans="1:23" x14ac:dyDescent="0.2">
      <c r="A32" s="4" t="s">
        <v>36</v>
      </c>
      <c r="B32">
        <v>0.94929999113082886</v>
      </c>
      <c r="C32">
        <v>1.0209000110626221</v>
      </c>
      <c r="D32">
        <v>1.1288000345230103</v>
      </c>
      <c r="E32">
        <v>0.96469998359680176</v>
      </c>
      <c r="F32">
        <v>1.0540000200271606</v>
      </c>
      <c r="G32">
        <v>1.0247999429702759</v>
      </c>
      <c r="H32">
        <v>0.95819997787475586</v>
      </c>
      <c r="I32">
        <v>1.0527000427246094</v>
      </c>
      <c r="J32">
        <v>1.0528000593185425</v>
      </c>
      <c r="K32">
        <v>1.0391999483108521</v>
      </c>
      <c r="L32">
        <v>4.4500000774860382E-2</v>
      </c>
      <c r="N32">
        <f t="shared" si="0"/>
        <v>0.90729999113082882</v>
      </c>
      <c r="O32">
        <f t="shared" si="0"/>
        <v>0.97890001106262203</v>
      </c>
      <c r="P32">
        <f t="shared" si="0"/>
        <v>1.0868000345230102</v>
      </c>
      <c r="Q32">
        <f t="shared" si="0"/>
        <v>0.92269998359680172</v>
      </c>
      <c r="R32">
        <f t="shared" si="0"/>
        <v>1.0120000200271606</v>
      </c>
      <c r="S32">
        <f t="shared" si="0"/>
        <v>0.98279994297027584</v>
      </c>
      <c r="T32">
        <f t="shared" si="0"/>
        <v>0.91619997787475582</v>
      </c>
      <c r="U32">
        <f t="shared" si="0"/>
        <v>1.0107000427246093</v>
      </c>
      <c r="V32">
        <f t="shared" si="0"/>
        <v>1.0108000593185424</v>
      </c>
      <c r="W32">
        <f t="shared" si="0"/>
        <v>0.99719994831085201</v>
      </c>
    </row>
    <row r="33" spans="1:23" x14ac:dyDescent="0.2">
      <c r="A33" s="4" t="s">
        <v>37</v>
      </c>
      <c r="B33">
        <v>0.95599997043609619</v>
      </c>
      <c r="C33">
        <v>1.0163999795913696</v>
      </c>
      <c r="D33">
        <v>1.0404000282287598</v>
      </c>
      <c r="E33">
        <v>0.97350001335144043</v>
      </c>
      <c r="F33">
        <v>0.95209997892379761</v>
      </c>
      <c r="G33">
        <v>1.0640000104904175</v>
      </c>
      <c r="H33">
        <v>1.0709999799728394</v>
      </c>
      <c r="I33">
        <v>1.0787999629974365</v>
      </c>
      <c r="J33">
        <v>0.79229998588562012</v>
      </c>
      <c r="K33">
        <v>1.1195000410079956</v>
      </c>
      <c r="L33">
        <v>4.4500000774860382E-2</v>
      </c>
      <c r="N33">
        <f t="shared" si="0"/>
        <v>0.91399997043609615</v>
      </c>
      <c r="O33">
        <f t="shared" si="0"/>
        <v>0.97439997959136959</v>
      </c>
      <c r="P33">
        <f t="shared" si="0"/>
        <v>0.99840002822875973</v>
      </c>
      <c r="Q33">
        <f t="shared" si="0"/>
        <v>0.93150001335144039</v>
      </c>
      <c r="R33">
        <f t="shared" si="0"/>
        <v>0.91009997892379757</v>
      </c>
      <c r="S33">
        <f t="shared" si="0"/>
        <v>1.0220000104904174</v>
      </c>
      <c r="T33">
        <f t="shared" si="0"/>
        <v>1.0289999799728393</v>
      </c>
      <c r="U33">
        <f t="shared" si="0"/>
        <v>1.0367999629974365</v>
      </c>
      <c r="V33">
        <f t="shared" si="0"/>
        <v>0.75029998588562008</v>
      </c>
      <c r="W33">
        <f t="shared" si="0"/>
        <v>1.0775000410079956</v>
      </c>
    </row>
    <row r="35" spans="1:23" x14ac:dyDescent="0.2">
      <c r="L35">
        <f>AVERAGE(L29:L31)</f>
        <v>4.1933332880338035E-2</v>
      </c>
    </row>
    <row r="38" spans="1:23" x14ac:dyDescent="0.2">
      <c r="A38" t="s">
        <v>38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21</v>
      </c>
      <c r="E44" t="s">
        <v>44</v>
      </c>
    </row>
    <row r="45" spans="1:23" x14ac:dyDescent="0.2">
      <c r="A45" t="s">
        <v>45</v>
      </c>
      <c r="E45">
        <v>488</v>
      </c>
      <c r="F45" t="s">
        <v>24</v>
      </c>
    </row>
    <row r="46" spans="1:23" x14ac:dyDescent="0.2">
      <c r="A46" t="s">
        <v>46</v>
      </c>
      <c r="E46">
        <v>520</v>
      </c>
      <c r="F46" t="s">
        <v>24</v>
      </c>
    </row>
    <row r="47" spans="1:23" x14ac:dyDescent="0.2">
      <c r="A47" t="s">
        <v>47</v>
      </c>
      <c r="E47">
        <v>9</v>
      </c>
      <c r="F47" t="s">
        <v>24</v>
      </c>
    </row>
    <row r="48" spans="1:23" x14ac:dyDescent="0.2">
      <c r="A48" t="s">
        <v>48</v>
      </c>
      <c r="E48">
        <v>20</v>
      </c>
      <c r="F48" t="s">
        <v>24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26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27</v>
      </c>
      <c r="E53">
        <v>0</v>
      </c>
      <c r="F53" t="s">
        <v>28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29</v>
      </c>
      <c r="E55" t="s">
        <v>30</v>
      </c>
    </row>
    <row r="56" spans="1:12" x14ac:dyDescent="0.2">
      <c r="A56" t="s">
        <v>31</v>
      </c>
      <c r="B56" s="2" t="s">
        <v>56</v>
      </c>
    </row>
    <row r="58" spans="1:12" x14ac:dyDescent="0.2">
      <c r="B58" t="s">
        <v>41</v>
      </c>
    </row>
    <row r="59" spans="1:12" x14ac:dyDescent="0.2">
      <c r="A59" s="4" t="s">
        <v>32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33</v>
      </c>
      <c r="B60">
        <v>93</v>
      </c>
      <c r="C60">
        <v>478</v>
      </c>
      <c r="D60">
        <v>256</v>
      </c>
      <c r="E60">
        <v>167</v>
      </c>
      <c r="F60">
        <v>116</v>
      </c>
      <c r="G60">
        <v>94</v>
      </c>
      <c r="H60">
        <v>376</v>
      </c>
      <c r="I60">
        <v>244</v>
      </c>
      <c r="J60">
        <v>232</v>
      </c>
      <c r="K60">
        <v>108</v>
      </c>
      <c r="L60">
        <v>69</v>
      </c>
    </row>
    <row r="61" spans="1:12" x14ac:dyDescent="0.2">
      <c r="A61" s="4" t="s">
        <v>34</v>
      </c>
      <c r="B61">
        <v>103</v>
      </c>
      <c r="C61">
        <v>481</v>
      </c>
      <c r="D61">
        <v>303</v>
      </c>
      <c r="E61">
        <v>193</v>
      </c>
      <c r="F61">
        <v>133</v>
      </c>
      <c r="G61">
        <v>99</v>
      </c>
      <c r="H61">
        <v>376</v>
      </c>
      <c r="I61">
        <v>249</v>
      </c>
      <c r="J61">
        <v>226</v>
      </c>
      <c r="K61">
        <v>131</v>
      </c>
      <c r="L61">
        <v>74</v>
      </c>
    </row>
    <row r="62" spans="1:12" x14ac:dyDescent="0.2">
      <c r="A62" s="4" t="s">
        <v>35</v>
      </c>
      <c r="B62">
        <v>97</v>
      </c>
      <c r="C62">
        <v>402</v>
      </c>
      <c r="D62">
        <v>290</v>
      </c>
      <c r="E62">
        <v>195</v>
      </c>
      <c r="F62">
        <v>131</v>
      </c>
      <c r="G62">
        <v>108</v>
      </c>
      <c r="H62">
        <v>399</v>
      </c>
      <c r="I62">
        <v>248</v>
      </c>
      <c r="J62">
        <v>229</v>
      </c>
      <c r="K62">
        <v>133</v>
      </c>
      <c r="L62">
        <v>74</v>
      </c>
    </row>
    <row r="63" spans="1:12" x14ac:dyDescent="0.2">
      <c r="A63" s="4" t="s">
        <v>36</v>
      </c>
      <c r="B63">
        <v>96</v>
      </c>
      <c r="C63">
        <v>423</v>
      </c>
      <c r="D63">
        <v>225</v>
      </c>
      <c r="E63">
        <v>311</v>
      </c>
      <c r="F63">
        <v>133</v>
      </c>
      <c r="G63">
        <v>103</v>
      </c>
      <c r="H63">
        <v>342</v>
      </c>
      <c r="I63">
        <v>251</v>
      </c>
      <c r="J63">
        <v>208</v>
      </c>
      <c r="K63">
        <v>129</v>
      </c>
      <c r="L63">
        <v>8</v>
      </c>
    </row>
    <row r="64" spans="1:12" x14ac:dyDescent="0.2">
      <c r="A64" s="4" t="s">
        <v>37</v>
      </c>
      <c r="B64">
        <v>100</v>
      </c>
      <c r="C64">
        <v>403</v>
      </c>
      <c r="D64">
        <v>204</v>
      </c>
      <c r="E64">
        <v>401</v>
      </c>
      <c r="F64">
        <v>118</v>
      </c>
      <c r="G64">
        <v>112</v>
      </c>
      <c r="H64">
        <v>384</v>
      </c>
      <c r="I64">
        <v>250</v>
      </c>
      <c r="J64">
        <v>193</v>
      </c>
      <c r="K64">
        <v>134</v>
      </c>
      <c r="L64">
        <v>7</v>
      </c>
    </row>
    <row r="67" spans="1:23" x14ac:dyDescent="0.2">
      <c r="N67" s="20" t="s">
        <v>65</v>
      </c>
      <c r="O67" s="20"/>
      <c r="P67" s="20"/>
      <c r="Q67" s="20"/>
      <c r="R67" t="s">
        <v>66</v>
      </c>
      <c r="S67" s="20" t="s">
        <v>65</v>
      </c>
      <c r="T67" s="20"/>
      <c r="U67" s="20"/>
      <c r="V67" s="20"/>
      <c r="W67" t="s">
        <v>66</v>
      </c>
    </row>
    <row r="68" spans="1:23" x14ac:dyDescent="0.2">
      <c r="N68" s="20" t="s">
        <v>67</v>
      </c>
      <c r="O68" s="20"/>
      <c r="P68" s="20"/>
      <c r="Q68" s="20"/>
      <c r="R68" s="20"/>
      <c r="S68" s="20" t="s">
        <v>68</v>
      </c>
      <c r="T68" s="20"/>
      <c r="U68" s="20"/>
      <c r="V68" s="20"/>
      <c r="W68" s="20"/>
    </row>
    <row r="69" spans="1:23" ht="16" thickBot="1" x14ac:dyDescent="0.25">
      <c r="A69" t="s">
        <v>38</v>
      </c>
      <c r="B69" s="2" t="s">
        <v>57</v>
      </c>
      <c r="N69" t="s">
        <v>69</v>
      </c>
      <c r="O69" t="s">
        <v>70</v>
      </c>
      <c r="P69" t="s">
        <v>71</v>
      </c>
      <c r="Q69" t="s">
        <v>72</v>
      </c>
      <c r="R69" t="s">
        <v>73</v>
      </c>
      <c r="S69" t="s">
        <v>69</v>
      </c>
      <c r="T69" t="s">
        <v>70</v>
      </c>
      <c r="U69" t="s">
        <v>71</v>
      </c>
      <c r="V69" t="s">
        <v>72</v>
      </c>
      <c r="W69" t="s">
        <v>73</v>
      </c>
    </row>
    <row r="70" spans="1:23" x14ac:dyDescent="0.2">
      <c r="N70" s="6">
        <f>N91/N29</f>
        <v>742.75152867137695</v>
      </c>
      <c r="O70" s="7">
        <f t="shared" ref="O70:W70" si="1">O91/O29</f>
        <v>10118.028013584628</v>
      </c>
      <c r="P70" s="7">
        <f t="shared" si="1"/>
        <v>5175.7563202868905</v>
      </c>
      <c r="Q70" s="7">
        <f t="shared" si="1"/>
        <v>2605.7885930187344</v>
      </c>
      <c r="R70" s="8">
        <f t="shared" si="1"/>
        <v>1361.7606528273716</v>
      </c>
      <c r="S70" s="6">
        <f t="shared" si="1"/>
        <v>841.75937642079339</v>
      </c>
      <c r="T70" s="7">
        <f t="shared" si="1"/>
        <v>8721.879988249555</v>
      </c>
      <c r="U70" s="7">
        <f t="shared" si="1"/>
        <v>4307.3819989342392</v>
      </c>
      <c r="V70" s="7">
        <f t="shared" si="1"/>
        <v>4206.4869766910751</v>
      </c>
      <c r="W70" s="8">
        <f t="shared" si="1"/>
        <v>1284.0951358449774</v>
      </c>
    </row>
    <row r="71" spans="1:23" x14ac:dyDescent="0.2">
      <c r="N71" s="9">
        <f t="shared" ref="N71:W74" si="2">N92/N30</f>
        <v>840.89034435585768</v>
      </c>
      <c r="O71">
        <f t="shared" si="2"/>
        <v>10054.583146486391</v>
      </c>
      <c r="P71">
        <f t="shared" si="2"/>
        <v>6180.2052118819702</v>
      </c>
      <c r="Q71">
        <f t="shared" si="2"/>
        <v>3919.8743780913737</v>
      </c>
      <c r="R71" s="10">
        <f t="shared" si="2"/>
        <v>1662.4424371901107</v>
      </c>
      <c r="S71" s="9">
        <f t="shared" si="2"/>
        <v>811.59418742635626</v>
      </c>
      <c r="T71">
        <f t="shared" si="2"/>
        <v>8731.868997108957</v>
      </c>
      <c r="U71">
        <f t="shared" si="2"/>
        <v>5205.2969400386773</v>
      </c>
      <c r="V71">
        <f t="shared" si="2"/>
        <v>3964.5404803336487</v>
      </c>
      <c r="W71" s="10">
        <f t="shared" si="2"/>
        <v>1548.3930737191577</v>
      </c>
    </row>
    <row r="72" spans="1:23" x14ac:dyDescent="0.2">
      <c r="N72" s="9">
        <f t="shared" si="2"/>
        <v>757.51338638618893</v>
      </c>
      <c r="O72">
        <f t="shared" si="2"/>
        <v>9406.5163087132896</v>
      </c>
      <c r="P72">
        <f t="shared" si="2"/>
        <v>6154.2299912278513</v>
      </c>
      <c r="Q72">
        <f t="shared" si="2"/>
        <v>3704.8416740947946</v>
      </c>
      <c r="R72" s="10">
        <f t="shared" si="2"/>
        <v>1589.9142850363046</v>
      </c>
      <c r="S72" s="9">
        <f t="shared" si="2"/>
        <v>942.80880990223977</v>
      </c>
      <c r="T72">
        <f t="shared" si="2"/>
        <v>8806.5061632557536</v>
      </c>
      <c r="U72">
        <f t="shared" si="2"/>
        <v>5001.5087518639493</v>
      </c>
      <c r="V72">
        <f t="shared" si="2"/>
        <v>4059.4328363776804</v>
      </c>
      <c r="W72" s="10">
        <f t="shared" si="2"/>
        <v>1627.1970010184721</v>
      </c>
    </row>
    <row r="73" spans="1:23" x14ac:dyDescent="0.2">
      <c r="N73" s="9">
        <f t="shared" si="2"/>
        <v>762.70253142790625</v>
      </c>
      <c r="O73">
        <f t="shared" si="2"/>
        <v>10188.987524040333</v>
      </c>
      <c r="P73">
        <f t="shared" si="2"/>
        <v>3974.9722697570774</v>
      </c>
      <c r="Q73">
        <f t="shared" si="2"/>
        <v>7353.4194436107045</v>
      </c>
      <c r="R73" s="10">
        <f t="shared" si="2"/>
        <v>1707.509847631844</v>
      </c>
      <c r="S73" s="9">
        <f t="shared" si="2"/>
        <v>913.71596673684326</v>
      </c>
      <c r="T73">
        <f t="shared" si="2"/>
        <v>8384.6323788605532</v>
      </c>
      <c r="U73">
        <f t="shared" si="2"/>
        <v>5028.1980658674202</v>
      </c>
      <c r="V73">
        <f t="shared" si="2"/>
        <v>3873.169539225592</v>
      </c>
      <c r="W73" s="10">
        <f t="shared" si="2"/>
        <v>1614.520741529484</v>
      </c>
    </row>
    <row r="74" spans="1:23" ht="16" thickBot="1" x14ac:dyDescent="0.25">
      <c r="A74" t="s">
        <v>58</v>
      </c>
      <c r="N74" s="11">
        <f t="shared" si="2"/>
        <v>859.95626413967648</v>
      </c>
      <c r="O74" s="12">
        <f t="shared" si="2"/>
        <v>9619.2530750367205</v>
      </c>
      <c r="P74" s="12">
        <f t="shared" si="2"/>
        <v>3808.0928410479387</v>
      </c>
      <c r="Q74" s="12">
        <f t="shared" si="2"/>
        <v>10083.735765289966</v>
      </c>
      <c r="R74" s="13">
        <f t="shared" si="2"/>
        <v>1502.0327784387946</v>
      </c>
      <c r="S74" s="11">
        <f t="shared" si="2"/>
        <v>1108.6105561352372</v>
      </c>
      <c r="T74" s="12">
        <f t="shared" si="2"/>
        <v>8627.7941426532743</v>
      </c>
      <c r="U74" s="12">
        <f t="shared" si="2"/>
        <v>4892.939989439933</v>
      </c>
      <c r="V74" s="12">
        <f t="shared" si="2"/>
        <v>4618.1528257795062</v>
      </c>
      <c r="W74" s="13">
        <f t="shared" si="2"/>
        <v>1652.9001691117189</v>
      </c>
    </row>
    <row r="75" spans="1:23" x14ac:dyDescent="0.2">
      <c r="A75" t="s">
        <v>21</v>
      </c>
      <c r="E75" t="s">
        <v>44</v>
      </c>
    </row>
    <row r="76" spans="1:23" x14ac:dyDescent="0.2">
      <c r="A76" t="s">
        <v>45</v>
      </c>
      <c r="E76">
        <v>488</v>
      </c>
      <c r="F76" t="s">
        <v>24</v>
      </c>
      <c r="N76">
        <f t="shared" ref="N76:W76" si="3">AVERAGE(N70:N74)</f>
        <v>792.76281099620132</v>
      </c>
      <c r="O76">
        <f t="shared" si="3"/>
        <v>9877.4736135722742</v>
      </c>
      <c r="P76">
        <f t="shared" si="3"/>
        <v>5058.6513268403451</v>
      </c>
      <c r="Q76">
        <f t="shared" si="3"/>
        <v>5533.5319708211146</v>
      </c>
      <c r="R76">
        <f t="shared" si="3"/>
        <v>1564.732000224885</v>
      </c>
      <c r="S76">
        <f t="shared" si="3"/>
        <v>923.69777932429383</v>
      </c>
      <c r="T76">
        <f t="shared" si="3"/>
        <v>8654.536334025619</v>
      </c>
      <c r="U76">
        <f t="shared" si="3"/>
        <v>4887.0651492288434</v>
      </c>
      <c r="V76">
        <f t="shared" si="3"/>
        <v>4144.3565316815002</v>
      </c>
      <c r="W76">
        <f t="shared" si="3"/>
        <v>1545.4212242447622</v>
      </c>
    </row>
    <row r="77" spans="1:23" x14ac:dyDescent="0.2">
      <c r="A77" t="s">
        <v>46</v>
      </c>
      <c r="E77">
        <v>520</v>
      </c>
      <c r="F77" t="s">
        <v>24</v>
      </c>
    </row>
    <row r="78" spans="1:23" x14ac:dyDescent="0.2">
      <c r="A78" t="s">
        <v>47</v>
      </c>
      <c r="E78">
        <v>9</v>
      </c>
      <c r="F78" t="s">
        <v>24</v>
      </c>
      <c r="M78" t="s">
        <v>76</v>
      </c>
      <c r="N78" s="14">
        <f>N76/974</f>
        <v>0.81392485728562769</v>
      </c>
      <c r="O78" s="15">
        <f>O76/10336</f>
        <v>0.9556379270097014</v>
      </c>
      <c r="P78" s="15">
        <f>P76/16798</f>
        <v>0.30114604874629985</v>
      </c>
      <c r="Q78" s="15">
        <f>Q76/40900</f>
        <v>0.13529418021567519</v>
      </c>
      <c r="R78" s="14">
        <f>R76/1809</f>
        <v>0.86497070216964345</v>
      </c>
      <c r="S78">
        <f>S76/895</f>
        <v>1.0320645579042389</v>
      </c>
      <c r="T78" s="15">
        <f>T76/10832</f>
        <v>0.79897861281624993</v>
      </c>
      <c r="U78" s="15">
        <f>U76/17626</f>
        <v>0.27726456083222761</v>
      </c>
      <c r="V78" s="15">
        <f>V76/52231</f>
        <v>7.9346681696339336E-2</v>
      </c>
      <c r="W78">
        <f>W76/1938</f>
        <v>0.79743097226251924</v>
      </c>
    </row>
    <row r="79" spans="1:23" x14ac:dyDescent="0.2">
      <c r="A79" t="s">
        <v>48</v>
      </c>
      <c r="E79">
        <v>20</v>
      </c>
      <c r="F79" t="s">
        <v>24</v>
      </c>
      <c r="N79" s="14"/>
      <c r="O79" s="15"/>
      <c r="P79" s="15"/>
      <c r="Q79" s="15"/>
      <c r="R79" s="14"/>
      <c r="T79" s="15"/>
      <c r="U79" s="15"/>
      <c r="V79" s="15"/>
    </row>
    <row r="80" spans="1:23" x14ac:dyDescent="0.2">
      <c r="A80" t="s">
        <v>49</v>
      </c>
      <c r="E80">
        <v>80</v>
      </c>
      <c r="F80" t="s">
        <v>50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26</v>
      </c>
      <c r="E81">
        <v>25</v>
      </c>
    </row>
    <row r="82" spans="1:23" ht="16" thickBot="1" x14ac:dyDescent="0.25">
      <c r="A82" t="s">
        <v>51</v>
      </c>
      <c r="E82">
        <v>20</v>
      </c>
      <c r="F82" t="s">
        <v>52</v>
      </c>
    </row>
    <row r="83" spans="1:23" ht="16" thickBot="1" x14ac:dyDescent="0.25">
      <c r="A83" t="s">
        <v>53</v>
      </c>
      <c r="E83">
        <v>0</v>
      </c>
      <c r="F83" t="s">
        <v>52</v>
      </c>
      <c r="M83" t="s">
        <v>74</v>
      </c>
      <c r="N83" s="16">
        <v>714.81260550143907</v>
      </c>
      <c r="O83" s="17">
        <v>8657.2097105521261</v>
      </c>
      <c r="P83" s="17">
        <v>5517.7338255343739</v>
      </c>
      <c r="Q83" s="17">
        <v>1018.9620756169745</v>
      </c>
      <c r="R83" s="18">
        <v>1433.8180261282453</v>
      </c>
      <c r="S83" s="16">
        <v>688.95452093015979</v>
      </c>
      <c r="T83" s="17">
        <v>7608.1893746563246</v>
      </c>
      <c r="U83" s="17">
        <v>2228.0223339206577</v>
      </c>
      <c r="V83" s="17">
        <v>880.59280703005538</v>
      </c>
      <c r="W83" s="18">
        <v>1464.9586991084579</v>
      </c>
    </row>
    <row r="84" spans="1:23" x14ac:dyDescent="0.2">
      <c r="A84" t="s">
        <v>27</v>
      </c>
      <c r="E84">
        <v>0</v>
      </c>
      <c r="F84" t="s">
        <v>28</v>
      </c>
      <c r="M84" t="s">
        <v>77</v>
      </c>
      <c r="N84">
        <f>N76/N83</f>
        <v>1.1090498473233841</v>
      </c>
      <c r="O84" s="14">
        <f t="shared" ref="O84:W84" si="4">O76/O83</f>
        <v>1.1409534877655545</v>
      </c>
      <c r="P84" s="14">
        <f t="shared" si="4"/>
        <v>0.91679872331471735</v>
      </c>
      <c r="Q84" s="14">
        <f>Q76/Q83</f>
        <v>5.4305573320484957</v>
      </c>
      <c r="R84">
        <f t="shared" si="4"/>
        <v>1.0913044554546076</v>
      </c>
      <c r="S84">
        <f t="shared" si="4"/>
        <v>1.3407238812762363</v>
      </c>
      <c r="T84" s="14">
        <f t="shared" si="4"/>
        <v>1.1375290371786466</v>
      </c>
      <c r="U84" s="14">
        <f t="shared" si="4"/>
        <v>2.1934542912005104</v>
      </c>
      <c r="V84" s="14">
        <f>V76/V83</f>
        <v>4.7063256690217887</v>
      </c>
      <c r="W84">
        <f t="shared" si="4"/>
        <v>1.0549247737736716</v>
      </c>
    </row>
    <row r="85" spans="1:23" x14ac:dyDescent="0.2">
      <c r="A85" t="s">
        <v>54</v>
      </c>
      <c r="E85">
        <v>20000</v>
      </c>
      <c r="F85" t="s">
        <v>55</v>
      </c>
    </row>
    <row r="86" spans="1:23" ht="16" thickBot="1" x14ac:dyDescent="0.25">
      <c r="A86" t="s">
        <v>29</v>
      </c>
      <c r="E86" t="s">
        <v>30</v>
      </c>
      <c r="M86" t="s">
        <v>75</v>
      </c>
      <c r="N86">
        <v>1332.2986394617906</v>
      </c>
      <c r="O86">
        <v>12151.597751635452</v>
      </c>
      <c r="P86">
        <v>9983.4982568661017</v>
      </c>
      <c r="Q86">
        <v>14005.697216489109</v>
      </c>
      <c r="R86">
        <v>2266.3493807658733</v>
      </c>
      <c r="S86">
        <v>1359.7443166378155</v>
      </c>
      <c r="T86">
        <v>12702.261450492337</v>
      </c>
      <c r="U86">
        <v>11913.199206990072</v>
      </c>
      <c r="V86">
        <v>11945.967625454212</v>
      </c>
      <c r="W86">
        <v>2461.8538792303502</v>
      </c>
    </row>
    <row r="87" spans="1:23" ht="16" thickBot="1" x14ac:dyDescent="0.25">
      <c r="A87" t="s">
        <v>31</v>
      </c>
      <c r="B87" s="2" t="s">
        <v>59</v>
      </c>
      <c r="M87" t="s">
        <v>78</v>
      </c>
      <c r="N87" s="16">
        <f>N76/N86</f>
        <v>0.59503386666855274</v>
      </c>
      <c r="O87" s="17">
        <f t="shared" ref="O87:W87" si="5">O76/O86</f>
        <v>0.81285389917082229</v>
      </c>
      <c r="P87" s="17">
        <f t="shared" si="5"/>
        <v>0.50670127811774623</v>
      </c>
      <c r="Q87" s="17">
        <f t="shared" si="5"/>
        <v>0.39509150349947647</v>
      </c>
      <c r="R87" s="19">
        <f t="shared" si="5"/>
        <v>0.69041958556986083</v>
      </c>
      <c r="S87" s="16">
        <f t="shared" si="5"/>
        <v>0.67931725694451428</v>
      </c>
      <c r="T87" s="17">
        <f t="shared" si="5"/>
        <v>0.68133823002754923</v>
      </c>
      <c r="U87" s="17">
        <f t="shared" si="5"/>
        <v>0.41022273398747139</v>
      </c>
      <c r="V87" s="17">
        <f t="shared" si="5"/>
        <v>0.34692514341415043</v>
      </c>
      <c r="W87" s="19">
        <f t="shared" si="5"/>
        <v>0.62774693383829405</v>
      </c>
    </row>
    <row r="89" spans="1:23" x14ac:dyDescent="0.2">
      <c r="B89" t="s">
        <v>41</v>
      </c>
    </row>
    <row r="90" spans="1:23" x14ac:dyDescent="0.2">
      <c r="A90" s="4" t="s">
        <v>32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33</v>
      </c>
      <c r="B91">
        <v>2674</v>
      </c>
      <c r="C91">
        <v>13604</v>
      </c>
      <c r="D91">
        <v>7317</v>
      </c>
      <c r="E91">
        <v>4759</v>
      </c>
      <c r="F91">
        <v>3318</v>
      </c>
      <c r="G91">
        <v>2697</v>
      </c>
      <c r="H91">
        <v>10677</v>
      </c>
      <c r="I91">
        <v>6944</v>
      </c>
      <c r="J91">
        <v>6635</v>
      </c>
      <c r="K91">
        <v>3062</v>
      </c>
      <c r="L91">
        <v>1924</v>
      </c>
      <c r="N91">
        <f t="shared" ref="N91:W95" si="6">B91-2031</f>
        <v>643</v>
      </c>
      <c r="O91">
        <f t="shared" si="6"/>
        <v>11573</v>
      </c>
      <c r="P91">
        <f t="shared" si="6"/>
        <v>5286</v>
      </c>
      <c r="Q91">
        <f t="shared" si="6"/>
        <v>2728</v>
      </c>
      <c r="R91">
        <f t="shared" si="6"/>
        <v>1287</v>
      </c>
      <c r="S91">
        <f t="shared" si="6"/>
        <v>666</v>
      </c>
      <c r="T91">
        <f t="shared" si="6"/>
        <v>8646</v>
      </c>
      <c r="U91">
        <f t="shared" si="6"/>
        <v>4913</v>
      </c>
      <c r="V91">
        <f t="shared" si="6"/>
        <v>4604</v>
      </c>
      <c r="W91">
        <f t="shared" si="6"/>
        <v>1031</v>
      </c>
    </row>
    <row r="92" spans="1:23" x14ac:dyDescent="0.2">
      <c r="A92" s="4" t="s">
        <v>34</v>
      </c>
      <c r="B92">
        <v>2949</v>
      </c>
      <c r="C92">
        <v>13636</v>
      </c>
      <c r="D92">
        <v>8650</v>
      </c>
      <c r="E92">
        <v>5524</v>
      </c>
      <c r="F92">
        <v>3802</v>
      </c>
      <c r="G92">
        <v>2843</v>
      </c>
      <c r="H92">
        <v>10700</v>
      </c>
      <c r="I92">
        <v>7102</v>
      </c>
      <c r="J92">
        <v>6369</v>
      </c>
      <c r="K92">
        <v>3698</v>
      </c>
      <c r="L92">
        <v>2081</v>
      </c>
      <c r="N92">
        <f t="shared" si="6"/>
        <v>918</v>
      </c>
      <c r="O92">
        <f t="shared" si="6"/>
        <v>11605</v>
      </c>
      <c r="P92">
        <f t="shared" si="6"/>
        <v>6619</v>
      </c>
      <c r="Q92">
        <f t="shared" si="6"/>
        <v>3493</v>
      </c>
      <c r="R92">
        <f t="shared" si="6"/>
        <v>1771</v>
      </c>
      <c r="S92">
        <f t="shared" si="6"/>
        <v>812</v>
      </c>
      <c r="T92">
        <f t="shared" si="6"/>
        <v>8669</v>
      </c>
      <c r="U92">
        <f t="shared" si="6"/>
        <v>5071</v>
      </c>
      <c r="V92">
        <f t="shared" si="6"/>
        <v>4338</v>
      </c>
      <c r="W92">
        <f t="shared" si="6"/>
        <v>1667</v>
      </c>
    </row>
    <row r="93" spans="1:23" x14ac:dyDescent="0.2">
      <c r="A93" s="4" t="s">
        <v>35</v>
      </c>
      <c r="B93">
        <v>2767</v>
      </c>
      <c r="C93">
        <v>11414</v>
      </c>
      <c r="D93">
        <v>8200</v>
      </c>
      <c r="E93">
        <v>5528</v>
      </c>
      <c r="F93">
        <v>3702</v>
      </c>
      <c r="G93">
        <v>3091</v>
      </c>
      <c r="H93">
        <v>11343</v>
      </c>
      <c r="I93">
        <v>7003</v>
      </c>
      <c r="J93">
        <v>6498</v>
      </c>
      <c r="K93">
        <v>3790</v>
      </c>
      <c r="L93">
        <v>2089</v>
      </c>
      <c r="N93">
        <f t="shared" si="6"/>
        <v>736</v>
      </c>
      <c r="O93">
        <f t="shared" si="6"/>
        <v>9383</v>
      </c>
      <c r="P93">
        <f t="shared" si="6"/>
        <v>6169</v>
      </c>
      <c r="Q93">
        <f t="shared" si="6"/>
        <v>3497</v>
      </c>
      <c r="R93">
        <f t="shared" si="6"/>
        <v>1671</v>
      </c>
      <c r="S93">
        <f t="shared" si="6"/>
        <v>1060</v>
      </c>
      <c r="T93">
        <f t="shared" si="6"/>
        <v>9312</v>
      </c>
      <c r="U93">
        <f t="shared" si="6"/>
        <v>4972</v>
      </c>
      <c r="V93">
        <f t="shared" si="6"/>
        <v>4467</v>
      </c>
      <c r="W93">
        <f t="shared" si="6"/>
        <v>1759</v>
      </c>
    </row>
    <row r="94" spans="1:23" x14ac:dyDescent="0.2">
      <c r="A94" s="4" t="s">
        <v>36</v>
      </c>
      <c r="B94">
        <v>2723</v>
      </c>
      <c r="C94">
        <v>12005</v>
      </c>
      <c r="D94">
        <v>6351</v>
      </c>
      <c r="E94">
        <v>8816</v>
      </c>
      <c r="F94">
        <v>3759</v>
      </c>
      <c r="G94">
        <v>2929</v>
      </c>
      <c r="H94">
        <v>9713</v>
      </c>
      <c r="I94">
        <v>7113</v>
      </c>
      <c r="J94">
        <v>5946</v>
      </c>
      <c r="K94">
        <v>3641</v>
      </c>
      <c r="L94">
        <v>186</v>
      </c>
      <c r="N94">
        <f t="shared" si="6"/>
        <v>692</v>
      </c>
      <c r="O94">
        <f t="shared" si="6"/>
        <v>9974</v>
      </c>
      <c r="P94">
        <f t="shared" si="6"/>
        <v>4320</v>
      </c>
      <c r="Q94">
        <f t="shared" si="6"/>
        <v>6785</v>
      </c>
      <c r="R94">
        <f t="shared" si="6"/>
        <v>1728</v>
      </c>
      <c r="S94">
        <f t="shared" si="6"/>
        <v>898</v>
      </c>
      <c r="T94">
        <f t="shared" si="6"/>
        <v>7682</v>
      </c>
      <c r="U94">
        <f t="shared" si="6"/>
        <v>5082</v>
      </c>
      <c r="V94">
        <f t="shared" si="6"/>
        <v>3915</v>
      </c>
      <c r="W94">
        <f t="shared" si="6"/>
        <v>1610</v>
      </c>
    </row>
    <row r="95" spans="1:23" x14ac:dyDescent="0.2">
      <c r="A95" s="4" t="s">
        <v>37</v>
      </c>
      <c r="B95">
        <v>2817</v>
      </c>
      <c r="C95">
        <v>11404</v>
      </c>
      <c r="D95">
        <v>5833</v>
      </c>
      <c r="E95">
        <v>11424</v>
      </c>
      <c r="F95">
        <v>3398</v>
      </c>
      <c r="G95">
        <v>3164</v>
      </c>
      <c r="H95">
        <v>10909</v>
      </c>
      <c r="I95">
        <v>7104</v>
      </c>
      <c r="J95">
        <v>5496</v>
      </c>
      <c r="K95">
        <v>3812</v>
      </c>
      <c r="L95">
        <v>189</v>
      </c>
      <c r="N95">
        <f t="shared" si="6"/>
        <v>786</v>
      </c>
      <c r="O95">
        <f t="shared" si="6"/>
        <v>9373</v>
      </c>
      <c r="P95">
        <f t="shared" si="6"/>
        <v>3802</v>
      </c>
      <c r="Q95">
        <f t="shared" si="6"/>
        <v>9393</v>
      </c>
      <c r="R95">
        <f t="shared" si="6"/>
        <v>1367</v>
      </c>
      <c r="S95">
        <f t="shared" si="6"/>
        <v>1133</v>
      </c>
      <c r="T95">
        <f t="shared" si="6"/>
        <v>8878</v>
      </c>
      <c r="U95">
        <f t="shared" si="6"/>
        <v>5073</v>
      </c>
      <c r="V95">
        <f t="shared" si="6"/>
        <v>3465</v>
      </c>
      <c r="W95">
        <f t="shared" si="6"/>
        <v>1781</v>
      </c>
    </row>
    <row r="97" spans="1:12" x14ac:dyDescent="0.2">
      <c r="L97">
        <f>AVERAGE(L91:L93)</f>
        <v>2031.3333333333333</v>
      </c>
    </row>
    <row r="100" spans="1:12" x14ac:dyDescent="0.2">
      <c r="A100" t="s">
        <v>38</v>
      </c>
      <c r="B100" s="2" t="s">
        <v>60</v>
      </c>
    </row>
    <row r="105" spans="1:12" x14ac:dyDescent="0.2">
      <c r="A105" t="s">
        <v>61</v>
      </c>
    </row>
    <row r="106" spans="1:12" x14ac:dyDescent="0.2">
      <c r="A106" t="s">
        <v>21</v>
      </c>
      <c r="E106" t="s">
        <v>44</v>
      </c>
    </row>
    <row r="107" spans="1:12" x14ac:dyDescent="0.2">
      <c r="A107" t="s">
        <v>45</v>
      </c>
      <c r="E107">
        <v>488</v>
      </c>
      <c r="F107" t="s">
        <v>24</v>
      </c>
    </row>
    <row r="108" spans="1:12" x14ac:dyDescent="0.2">
      <c r="A108" t="s">
        <v>46</v>
      </c>
      <c r="E108">
        <v>520</v>
      </c>
      <c r="F108" t="s">
        <v>24</v>
      </c>
    </row>
    <row r="109" spans="1:12" x14ac:dyDescent="0.2">
      <c r="A109" t="s">
        <v>47</v>
      </c>
      <c r="E109">
        <v>9</v>
      </c>
      <c r="F109" t="s">
        <v>24</v>
      </c>
    </row>
    <row r="110" spans="1:12" x14ac:dyDescent="0.2">
      <c r="A110" t="s">
        <v>48</v>
      </c>
      <c r="E110">
        <v>20</v>
      </c>
      <c r="F110" t="s">
        <v>24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26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27</v>
      </c>
      <c r="E115">
        <v>0</v>
      </c>
      <c r="F115" t="s">
        <v>28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29</v>
      </c>
      <c r="E117" t="s">
        <v>30</v>
      </c>
    </row>
    <row r="118" spans="1:12" x14ac:dyDescent="0.2">
      <c r="A118" t="s">
        <v>31</v>
      </c>
      <c r="B118" s="2" t="s">
        <v>62</v>
      </c>
    </row>
    <row r="120" spans="1:12" x14ac:dyDescent="0.2">
      <c r="B120" t="s">
        <v>41</v>
      </c>
    </row>
    <row r="121" spans="1:12" x14ac:dyDescent="0.2">
      <c r="A121" s="4" t="s">
        <v>32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33</v>
      </c>
      <c r="B122">
        <v>12870</v>
      </c>
      <c r="C122" s="5" t="s">
        <v>63</v>
      </c>
      <c r="D122">
        <v>35036</v>
      </c>
      <c r="E122">
        <v>22853</v>
      </c>
      <c r="F122">
        <v>16057</v>
      </c>
      <c r="G122">
        <v>13026</v>
      </c>
      <c r="H122">
        <v>50892</v>
      </c>
      <c r="I122">
        <v>33388</v>
      </c>
      <c r="J122">
        <v>31701</v>
      </c>
      <c r="K122">
        <v>14685</v>
      </c>
      <c r="L122">
        <v>9305</v>
      </c>
    </row>
    <row r="123" spans="1:12" x14ac:dyDescent="0.2">
      <c r="A123" s="4" t="s">
        <v>34</v>
      </c>
      <c r="B123">
        <v>14155</v>
      </c>
      <c r="C123" s="5" t="s">
        <v>63</v>
      </c>
      <c r="D123">
        <v>41266</v>
      </c>
      <c r="E123">
        <v>26473</v>
      </c>
      <c r="F123">
        <v>18196</v>
      </c>
      <c r="G123">
        <v>13638</v>
      </c>
      <c r="H123">
        <v>50741</v>
      </c>
      <c r="I123">
        <v>33974</v>
      </c>
      <c r="J123">
        <v>30705</v>
      </c>
      <c r="K123">
        <v>17801</v>
      </c>
      <c r="L123">
        <v>10058</v>
      </c>
    </row>
    <row r="124" spans="1:12" x14ac:dyDescent="0.2">
      <c r="A124" s="4" t="s">
        <v>35</v>
      </c>
      <c r="B124">
        <v>13312</v>
      </c>
      <c r="C124">
        <v>54505</v>
      </c>
      <c r="D124">
        <v>39351</v>
      </c>
      <c r="E124">
        <v>26405</v>
      </c>
      <c r="F124">
        <v>17882</v>
      </c>
      <c r="G124">
        <v>14897</v>
      </c>
      <c r="H124">
        <v>53927</v>
      </c>
      <c r="I124">
        <v>33586</v>
      </c>
      <c r="J124">
        <v>31206</v>
      </c>
      <c r="K124">
        <v>18230</v>
      </c>
      <c r="L124">
        <v>10044</v>
      </c>
    </row>
    <row r="125" spans="1:12" x14ac:dyDescent="0.2">
      <c r="A125" s="4" t="s">
        <v>36</v>
      </c>
      <c r="B125">
        <v>13055</v>
      </c>
      <c r="C125">
        <v>57145</v>
      </c>
      <c r="D125">
        <v>30563</v>
      </c>
      <c r="E125">
        <v>42247</v>
      </c>
      <c r="F125">
        <v>18100</v>
      </c>
      <c r="G125">
        <v>14167</v>
      </c>
      <c r="H125">
        <v>46410</v>
      </c>
      <c r="I125">
        <v>34273</v>
      </c>
      <c r="J125">
        <v>28404</v>
      </c>
      <c r="K125">
        <v>17628</v>
      </c>
      <c r="L125">
        <v>912</v>
      </c>
    </row>
    <row r="126" spans="1:12" x14ac:dyDescent="0.2">
      <c r="A126" s="4" t="s">
        <v>37</v>
      </c>
      <c r="B126">
        <v>13573</v>
      </c>
      <c r="C126">
        <v>54532</v>
      </c>
      <c r="D126">
        <v>28028</v>
      </c>
      <c r="E126">
        <v>54505</v>
      </c>
      <c r="F126">
        <v>16383</v>
      </c>
      <c r="G126">
        <v>15223</v>
      </c>
      <c r="H126">
        <v>52111</v>
      </c>
      <c r="I126">
        <v>33945</v>
      </c>
      <c r="J126">
        <v>26397</v>
      </c>
      <c r="K126">
        <v>18237</v>
      </c>
      <c r="L126">
        <v>907</v>
      </c>
    </row>
    <row r="131" spans="1:2" x14ac:dyDescent="0.2">
      <c r="A131" t="s">
        <v>38</v>
      </c>
      <c r="B131" s="2" t="s">
        <v>64</v>
      </c>
    </row>
  </sheetData>
  <mergeCells count="4">
    <mergeCell ref="N67:Q67"/>
    <mergeCell ref="S67:V67"/>
    <mergeCell ref="N68:R68"/>
    <mergeCell ref="S68:W68"/>
  </mergeCells>
  <conditionalFormatting sqref="N83:W8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2025-10-25T01:17:35Z</dcterms:modified>
</cp:coreProperties>
</file>