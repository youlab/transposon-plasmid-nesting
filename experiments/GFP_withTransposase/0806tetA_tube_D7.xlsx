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5"/>
  <workbookPr/>
  <mc:AlternateContent xmlns:mc="http://schemas.openxmlformats.org/markup-compatibility/2006">
    <mc:Choice Requires="x15">
      <x15ac:absPath xmlns:x15ac="http://schemas.microsoft.com/office/spreadsheetml/2010/11/ac" url="/Users/ychha/Desktop/Inc plasmid Evo/Exp/tetA/WithTransposase-GFP/"/>
    </mc:Choice>
  </mc:AlternateContent>
  <xr:revisionPtr revIDLastSave="0" documentId="8_{0682A7B2-A861-8A40-833F-F8EED5B1D2E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et10" sheetId="2" r:id="rId1"/>
    <sheet name="Sheet1" sheetId="1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8" i="2" l="1"/>
  <c r="U98" i="2"/>
  <c r="T98" i="2"/>
  <c r="S98" i="2"/>
  <c r="R98" i="2"/>
  <c r="Q98" i="2"/>
  <c r="P98" i="2"/>
  <c r="O98" i="2"/>
  <c r="N98" i="2"/>
  <c r="M98" i="2"/>
  <c r="V97" i="2"/>
  <c r="U97" i="2"/>
  <c r="T97" i="2"/>
  <c r="S97" i="2"/>
  <c r="S81" i="2" s="1"/>
  <c r="R97" i="2"/>
  <c r="R81" i="2" s="1"/>
  <c r="Q97" i="2"/>
  <c r="Q81" i="2" s="1"/>
  <c r="P97" i="2"/>
  <c r="O97" i="2"/>
  <c r="N97" i="2"/>
  <c r="M97" i="2"/>
  <c r="V96" i="2"/>
  <c r="U96" i="2"/>
  <c r="T96" i="2"/>
  <c r="S96" i="2"/>
  <c r="R96" i="2"/>
  <c r="Q96" i="2"/>
  <c r="P96" i="2"/>
  <c r="O96" i="2"/>
  <c r="N96" i="2"/>
  <c r="M96" i="2"/>
  <c r="M80" i="2" s="1"/>
  <c r="V95" i="2"/>
  <c r="V79" i="2" s="1"/>
  <c r="U95" i="2"/>
  <c r="U79" i="2" s="1"/>
  <c r="T95" i="2"/>
  <c r="S95" i="2"/>
  <c r="R95" i="2"/>
  <c r="Q95" i="2"/>
  <c r="P95" i="2"/>
  <c r="O95" i="2"/>
  <c r="N95" i="2"/>
  <c r="M95" i="2"/>
  <c r="V94" i="2"/>
  <c r="U94" i="2"/>
  <c r="T94" i="2"/>
  <c r="S94" i="2"/>
  <c r="R94" i="2"/>
  <c r="Q94" i="2"/>
  <c r="Q78" i="2" s="1"/>
  <c r="P94" i="2"/>
  <c r="P78" i="2" s="1"/>
  <c r="O94" i="2"/>
  <c r="O78" i="2" s="1"/>
  <c r="N94" i="2"/>
  <c r="M94" i="2"/>
  <c r="V93" i="2"/>
  <c r="U93" i="2"/>
  <c r="T93" i="2"/>
  <c r="S93" i="2"/>
  <c r="R93" i="2"/>
  <c r="Q93" i="2"/>
  <c r="P93" i="2"/>
  <c r="O93" i="2"/>
  <c r="N93" i="2"/>
  <c r="M93" i="2"/>
  <c r="V82" i="2"/>
  <c r="U82" i="2"/>
  <c r="S82" i="2"/>
  <c r="V81" i="2"/>
  <c r="U81" i="2"/>
  <c r="T81" i="2"/>
  <c r="P81" i="2"/>
  <c r="O81" i="2"/>
  <c r="N81" i="2"/>
  <c r="M81" i="2"/>
  <c r="V80" i="2"/>
  <c r="U80" i="2"/>
  <c r="T80" i="2"/>
  <c r="S80" i="2"/>
  <c r="R80" i="2"/>
  <c r="Q80" i="2"/>
  <c r="P80" i="2"/>
  <c r="O80" i="2"/>
  <c r="N80" i="2"/>
  <c r="T79" i="2"/>
  <c r="S79" i="2"/>
  <c r="R79" i="2"/>
  <c r="Q79" i="2"/>
  <c r="P79" i="2"/>
  <c r="O79" i="2"/>
  <c r="N79" i="2"/>
  <c r="M79" i="2"/>
  <c r="V78" i="2"/>
  <c r="U78" i="2"/>
  <c r="T78" i="2"/>
  <c r="S78" i="2"/>
  <c r="R78" i="2"/>
  <c r="N78" i="2"/>
  <c r="M78" i="2"/>
  <c r="V77" i="2"/>
  <c r="U77" i="2"/>
  <c r="T77" i="2"/>
  <c r="T84" i="2" s="1"/>
  <c r="S77" i="2"/>
  <c r="R77" i="2"/>
  <c r="Q77" i="2"/>
  <c r="P77" i="2"/>
  <c r="O77" i="2"/>
  <c r="N77" i="2"/>
  <c r="N84" i="2" s="1"/>
  <c r="M77" i="2"/>
  <c r="B100" i="2"/>
  <c r="V34" i="2"/>
  <c r="U34" i="2"/>
  <c r="S34" i="2"/>
  <c r="V33" i="2"/>
  <c r="U33" i="2"/>
  <c r="T33" i="2"/>
  <c r="S33" i="2"/>
  <c r="R33" i="2"/>
  <c r="Q33" i="2"/>
  <c r="P33" i="2"/>
  <c r="O33" i="2"/>
  <c r="N33" i="2"/>
  <c r="V32" i="2"/>
  <c r="U32" i="2"/>
  <c r="T32" i="2"/>
  <c r="S32" i="2"/>
  <c r="R32" i="2"/>
  <c r="Q32" i="2"/>
  <c r="P32" i="2"/>
  <c r="O32" i="2"/>
  <c r="N32" i="2"/>
  <c r="V31" i="2"/>
  <c r="U31" i="2"/>
  <c r="T31" i="2"/>
  <c r="S31" i="2"/>
  <c r="R31" i="2"/>
  <c r="Q31" i="2"/>
  <c r="P31" i="2"/>
  <c r="O31" i="2"/>
  <c r="N31" i="2"/>
  <c r="V30" i="2"/>
  <c r="U30" i="2"/>
  <c r="T30" i="2"/>
  <c r="S30" i="2"/>
  <c r="R30" i="2"/>
  <c r="Q30" i="2"/>
  <c r="P30" i="2"/>
  <c r="O30" i="2"/>
  <c r="N30" i="2"/>
  <c r="V29" i="2"/>
  <c r="U29" i="2"/>
  <c r="T29" i="2"/>
  <c r="S29" i="2"/>
  <c r="R29" i="2"/>
  <c r="Q29" i="2"/>
  <c r="P29" i="2"/>
  <c r="O29" i="2"/>
  <c r="N29" i="2"/>
  <c r="M33" i="2"/>
  <c r="M32" i="2"/>
  <c r="M31" i="2"/>
  <c r="M30" i="2"/>
  <c r="M29" i="2"/>
  <c r="B36" i="2"/>
  <c r="V84" i="2" l="1"/>
  <c r="M84" i="2"/>
  <c r="N91" i="2"/>
  <c r="N88" i="2"/>
  <c r="O84" i="2"/>
  <c r="P84" i="2"/>
  <c r="Q84" i="2"/>
  <c r="R84" i="2"/>
  <c r="U84" i="2"/>
  <c r="S84" i="2"/>
  <c r="T91" i="2"/>
  <c r="T88" i="2"/>
  <c r="S88" i="2" l="1"/>
  <c r="S91" i="2"/>
  <c r="U91" i="2"/>
  <c r="U88" i="2"/>
  <c r="R91" i="2"/>
  <c r="R88" i="2"/>
  <c r="Q91" i="2"/>
  <c r="Q88" i="2"/>
  <c r="P91" i="2"/>
  <c r="P88" i="2"/>
  <c r="O88" i="2"/>
  <c r="O91" i="2"/>
  <c r="M91" i="2"/>
  <c r="M88" i="2"/>
  <c r="V91" i="2"/>
  <c r="V8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V_5.23_05/17_InfiniteRX (May  9 2017/12.19.53)
MTP, V_5.23_05/17_InfiniteRX (May  9 2017/12.19.53)
HCP, V_5.23_05/17_InfiniteRX (May  9 2017/12.19.53)
MEM, V_3.00_09/11_MCR (Sep 27 2011/15.05.45)
MEX, V_3.00_09/11_MCR (Sep 27 2011/15.05.10)
ZSCAN, V_5.23_05/17_InfiniteRX (May  9 2017/12.19.53)
</t>
        </r>
      </text>
    </comment>
  </commentList>
</comments>
</file>

<file path=xl/sharedStrings.xml><?xml version="1.0" encoding="utf-8"?>
<sst xmlns="http://schemas.openxmlformats.org/spreadsheetml/2006/main" count="168" uniqueCount="71">
  <si>
    <t>Application: Tecan i-control</t>
  </si>
  <si>
    <t>Tecan i-control , 2.0.10.0</t>
  </si>
  <si>
    <t>Device: infinite 200Pro</t>
  </si>
  <si>
    <t>Serial number: 1705009483</t>
  </si>
  <si>
    <t>Serial number of connected stacker:</t>
  </si>
  <si>
    <t>Firmware: V_5.23_05/17_InfiniteRX (May  9 2017/12.19.53)</t>
  </si>
  <si>
    <t>MAI, V_5.23_05/17_InfiniteRX (May  9 2017/12.19.53)</t>
  </si>
  <si>
    <t>Date:</t>
  </si>
  <si>
    <t>Time:</t>
  </si>
  <si>
    <t>4:39:10 PM</t>
  </si>
  <si>
    <t>System</t>
  </si>
  <si>
    <t>TECAN-HP</t>
  </si>
  <si>
    <t>User</t>
  </si>
  <si>
    <t>Tecan-HP\Tecan</t>
  </si>
  <si>
    <t>Plate</t>
  </si>
  <si>
    <t>Corning 96 Flat Bottom Black Polystyrene Cat. No.: 3631 [COR96fb clear bottom.pdfx]</t>
  </si>
  <si>
    <t>Plate-ID (Stacker)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</si>
  <si>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</si>
  <si>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</si>
  <si>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</si>
  <si>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</si>
  <si>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</si>
  <si>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</si>
  <si>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</si>
  <si>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</si>
  <si>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</si>
  <si>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</si>
  <si>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</si>
  <si>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</si>
  <si>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</si>
  <si>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</si>
  <si>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B2-G11</t>
  </si>
  <si>
    <t>Start Time:</t>
  </si>
  <si>
    <t>8/6/2024 4:39:15 PM</t>
  </si>
  <si>
    <t>Temperature: 26.7 °C</t>
  </si>
  <si>
    <t>&lt;&gt;</t>
  </si>
  <si>
    <t>B</t>
  </si>
  <si>
    <t>C</t>
  </si>
  <si>
    <t>D</t>
  </si>
  <si>
    <t>E</t>
  </si>
  <si>
    <t>F</t>
  </si>
  <si>
    <t>G</t>
  </si>
  <si>
    <t>End Time:</t>
  </si>
  <si>
    <t>8/6/2024 4:39:43 PM</t>
  </si>
  <si>
    <t>Label: gfp50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</si>
  <si>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</si>
  <si>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</si>
  <si>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</si>
  <si>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</si>
  <si>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</si>
  <si>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</si>
  <si>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</si>
  <si>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</si>
  <si>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</si>
  <si>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</si>
  <si>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Z-Position (Manual)</t>
  </si>
  <si>
    <t>µm</t>
  </si>
  <si>
    <t>8/6/2024 4:39:47 PM</t>
  </si>
  <si>
    <t>Temperature: 26.8 °C</t>
  </si>
  <si>
    <t>8/6/2024 4:40:39 PM</t>
  </si>
  <si>
    <t>Label: gfp 80</t>
  </si>
  <si>
    <t>8/6/2024 4:40:46 PM</t>
  </si>
  <si>
    <t>8/6/2024 4:41:38 PM</t>
  </si>
  <si>
    <t>Label: gfp100</t>
  </si>
  <si>
    <t>8/6/2024 4:41:45 PM</t>
  </si>
  <si>
    <t>OVER</t>
  </si>
  <si>
    <t>8/6/2024 4:42:37 PM</t>
  </si>
  <si>
    <t>w/ Kan</t>
  </si>
  <si>
    <t>w/o Kan</t>
  </si>
  <si>
    <t>D5</t>
  </si>
  <si>
    <t>D7/D5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</si>
</sst>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C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7030A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22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  <xf numFmtId="0" fontId="1" fillId="2" borderId="0" xfId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6" fillId="0" borderId="0" xfId="0" applyFont="1"/>
    <xf numFmtId="0" fontId="0" fillId="0" borderId="0" xfId="0" applyAlignment="1">
      <alignment horizontal="center" vertical="center"/>
    </xf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5"/>
  <sheetViews>
    <sheetView tabSelected="1" topLeftCell="A70" workbookViewId="0">
      <selection activeCell="L92" sqref="L92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45510</v>
      </c>
    </row>
    <row r="6" spans="1:12" x14ac:dyDescent="0.2">
      <c r="A6" t="s">
        <v>8</v>
      </c>
      <c r="B6" s="2" t="s">
        <v>9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3" t="s">
        <v>17</v>
      </c>
      <c r="B14" s="3"/>
      <c r="C14" s="3"/>
      <c r="D14" s="3"/>
      <c r="E14" s="3">
        <v>5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">
      <c r="A15" s="3" t="s">
        <v>19</v>
      </c>
      <c r="B15" s="3"/>
      <c r="C15" s="3"/>
      <c r="D15" s="3"/>
      <c r="E15" s="3">
        <v>2</v>
      </c>
      <c r="F15" s="3" t="s">
        <v>20</v>
      </c>
      <c r="G15" s="3"/>
      <c r="H15" s="3"/>
      <c r="I15" s="3"/>
      <c r="J15" s="3"/>
      <c r="K15" s="3"/>
      <c r="L15" s="3"/>
    </row>
    <row r="18" spans="1:22" x14ac:dyDescent="0.2">
      <c r="A18" t="s">
        <v>21</v>
      </c>
    </row>
    <row r="19" spans="1:22" x14ac:dyDescent="0.2">
      <c r="A19" t="s">
        <v>22</v>
      </c>
      <c r="E19" t="s">
        <v>23</v>
      </c>
    </row>
    <row r="20" spans="1:22" x14ac:dyDescent="0.2">
      <c r="A20" t="s">
        <v>24</v>
      </c>
      <c r="E20">
        <v>600</v>
      </c>
      <c r="F20" t="s">
        <v>25</v>
      </c>
    </row>
    <row r="21" spans="1:22" x14ac:dyDescent="0.2">
      <c r="A21" t="s">
        <v>26</v>
      </c>
      <c r="E21">
        <v>9</v>
      </c>
      <c r="F21" t="s">
        <v>25</v>
      </c>
    </row>
    <row r="22" spans="1:22" x14ac:dyDescent="0.2">
      <c r="A22" t="s">
        <v>27</v>
      </c>
      <c r="E22">
        <v>10</v>
      </c>
    </row>
    <row r="23" spans="1:22" x14ac:dyDescent="0.2">
      <c r="A23" t="s">
        <v>28</v>
      </c>
      <c r="E23">
        <v>0</v>
      </c>
      <c r="F23" t="s">
        <v>29</v>
      </c>
    </row>
    <row r="24" spans="1:22" x14ac:dyDescent="0.2">
      <c r="A24" t="s">
        <v>30</v>
      </c>
      <c r="E24" t="s">
        <v>31</v>
      </c>
    </row>
    <row r="25" spans="1:22" x14ac:dyDescent="0.2">
      <c r="A25" t="s">
        <v>32</v>
      </c>
      <c r="B25" s="2" t="s">
        <v>33</v>
      </c>
    </row>
    <row r="27" spans="1:22" x14ac:dyDescent="0.2">
      <c r="B27" t="s">
        <v>34</v>
      </c>
    </row>
    <row r="28" spans="1:22" x14ac:dyDescent="0.2">
      <c r="A28" s="4" t="s">
        <v>35</v>
      </c>
      <c r="B28" s="4">
        <v>2</v>
      </c>
      <c r="C28" s="4">
        <v>3</v>
      </c>
      <c r="D28" s="4">
        <v>4</v>
      </c>
      <c r="E28" s="4">
        <v>5</v>
      </c>
      <c r="F28" s="4">
        <v>6</v>
      </c>
      <c r="G28" s="4">
        <v>7</v>
      </c>
      <c r="H28" s="4">
        <v>8</v>
      </c>
      <c r="I28" s="4">
        <v>9</v>
      </c>
      <c r="J28" s="4">
        <v>10</v>
      </c>
      <c r="K28" s="4">
        <v>11</v>
      </c>
    </row>
    <row r="29" spans="1:22" x14ac:dyDescent="0.2">
      <c r="A29" s="4" t="s">
        <v>36</v>
      </c>
      <c r="B29">
        <v>0.75300002098083496</v>
      </c>
      <c r="C29">
        <v>0.91579997539520264</v>
      </c>
      <c r="D29">
        <v>0.92669999599456787</v>
      </c>
      <c r="E29">
        <v>0.87860000133514404</v>
      </c>
      <c r="F29">
        <v>0.78979998826980591</v>
      </c>
      <c r="G29">
        <v>0.84549999237060547</v>
      </c>
      <c r="H29">
        <v>0.91699999570846558</v>
      </c>
      <c r="I29">
        <v>0.84270000457763672</v>
      </c>
      <c r="J29">
        <v>0.81019997596740723</v>
      </c>
      <c r="K29">
        <v>0.8375999927520752</v>
      </c>
      <c r="M29">
        <f t="shared" ref="M29:T33" si="0">B29-0.043</f>
        <v>0.71000002098083492</v>
      </c>
      <c r="N29">
        <f t="shared" si="0"/>
        <v>0.8727999753952026</v>
      </c>
      <c r="O29">
        <f t="shared" si="0"/>
        <v>0.88369999599456783</v>
      </c>
      <c r="P29">
        <f t="shared" si="0"/>
        <v>0.835600001335144</v>
      </c>
      <c r="Q29">
        <f t="shared" si="0"/>
        <v>0.74679998826980587</v>
      </c>
      <c r="R29">
        <f t="shared" si="0"/>
        <v>0.80249999237060543</v>
      </c>
      <c r="S29">
        <f t="shared" si="0"/>
        <v>0.87399999570846554</v>
      </c>
      <c r="T29">
        <f t="shared" si="0"/>
        <v>0.79970000457763668</v>
      </c>
      <c r="U29">
        <f t="shared" ref="U29:U34" si="1">J29-0.043</f>
        <v>0.76719997596740719</v>
      </c>
      <c r="V29">
        <f t="shared" ref="V29:V34" si="2">K29-0.043</f>
        <v>0.79459999275207516</v>
      </c>
    </row>
    <row r="30" spans="1:22" x14ac:dyDescent="0.2">
      <c r="A30" s="4" t="s">
        <v>37</v>
      </c>
      <c r="B30">
        <v>0.73009997606277466</v>
      </c>
      <c r="C30">
        <v>0.91030001640319824</v>
      </c>
      <c r="D30">
        <v>0.89440000057220459</v>
      </c>
      <c r="E30">
        <v>0.94239997863769531</v>
      </c>
      <c r="F30">
        <v>0.79820001125335693</v>
      </c>
      <c r="G30">
        <v>0.76410001516342163</v>
      </c>
      <c r="H30">
        <v>0.93620002269744873</v>
      </c>
      <c r="I30">
        <v>0.91860002279281616</v>
      </c>
      <c r="J30">
        <v>0.85729998350143433</v>
      </c>
      <c r="K30">
        <v>0.90130001306533813</v>
      </c>
      <c r="M30">
        <f t="shared" si="0"/>
        <v>0.68709997606277462</v>
      </c>
      <c r="N30">
        <f t="shared" si="0"/>
        <v>0.8673000164031982</v>
      </c>
      <c r="O30">
        <f t="shared" si="0"/>
        <v>0.85140000057220455</v>
      </c>
      <c r="P30">
        <f t="shared" si="0"/>
        <v>0.89939997863769527</v>
      </c>
      <c r="Q30">
        <f t="shared" si="0"/>
        <v>0.7552000112533569</v>
      </c>
      <c r="R30">
        <f t="shared" si="0"/>
        <v>0.72110001516342159</v>
      </c>
      <c r="S30">
        <f t="shared" si="0"/>
        <v>0.89320002269744869</v>
      </c>
      <c r="T30">
        <f t="shared" si="0"/>
        <v>0.87560002279281612</v>
      </c>
      <c r="U30">
        <f t="shared" si="1"/>
        <v>0.81429998350143429</v>
      </c>
      <c r="V30">
        <f t="shared" si="2"/>
        <v>0.8583000130653381</v>
      </c>
    </row>
    <row r="31" spans="1:22" x14ac:dyDescent="0.2">
      <c r="A31" s="4" t="s">
        <v>38</v>
      </c>
      <c r="B31">
        <v>0.69709998369216919</v>
      </c>
      <c r="C31">
        <v>0.88550001382827759</v>
      </c>
      <c r="D31">
        <v>0.8507000207901001</v>
      </c>
      <c r="E31">
        <v>0.89490002393722534</v>
      </c>
      <c r="F31">
        <v>0.85019999742507935</v>
      </c>
      <c r="G31">
        <v>0.77079999446868896</v>
      </c>
      <c r="H31">
        <v>0.8718000054359436</v>
      </c>
      <c r="I31">
        <v>0.94940000772476196</v>
      </c>
      <c r="J31">
        <v>0.87470000982284546</v>
      </c>
      <c r="K31">
        <v>0.89170002937316895</v>
      </c>
      <c r="M31">
        <f t="shared" si="0"/>
        <v>0.65409998369216915</v>
      </c>
      <c r="N31">
        <f t="shared" si="0"/>
        <v>0.84250001382827755</v>
      </c>
      <c r="O31">
        <f t="shared" si="0"/>
        <v>0.80770002079010006</v>
      </c>
      <c r="P31">
        <f t="shared" si="0"/>
        <v>0.8519000239372253</v>
      </c>
      <c r="Q31">
        <f t="shared" si="0"/>
        <v>0.80719999742507931</v>
      </c>
      <c r="R31">
        <f t="shared" si="0"/>
        <v>0.72779999446868893</v>
      </c>
      <c r="S31">
        <f t="shared" si="0"/>
        <v>0.82880000543594357</v>
      </c>
      <c r="T31">
        <f t="shared" si="0"/>
        <v>0.90640000772476192</v>
      </c>
      <c r="U31">
        <f t="shared" si="1"/>
        <v>0.83170000982284542</v>
      </c>
      <c r="V31">
        <f t="shared" si="2"/>
        <v>0.84870002937316891</v>
      </c>
    </row>
    <row r="32" spans="1:22" x14ac:dyDescent="0.2">
      <c r="A32" s="4" t="s">
        <v>39</v>
      </c>
      <c r="B32">
        <v>0.73100000619888306</v>
      </c>
      <c r="C32">
        <v>0.90060001611709595</v>
      </c>
      <c r="D32">
        <v>0.87379997968673706</v>
      </c>
      <c r="E32">
        <v>0.90499997138977051</v>
      </c>
      <c r="F32">
        <v>0.85699999332427979</v>
      </c>
      <c r="G32">
        <v>0.79110002517700195</v>
      </c>
      <c r="H32">
        <v>0.95899999141693115</v>
      </c>
      <c r="I32">
        <v>0.94340002536773682</v>
      </c>
      <c r="J32">
        <v>0.9034000039100647</v>
      </c>
      <c r="K32">
        <v>0.92919999361038208</v>
      </c>
      <c r="M32">
        <f t="shared" si="0"/>
        <v>0.68800000619888302</v>
      </c>
      <c r="N32">
        <f t="shared" si="0"/>
        <v>0.85760001611709591</v>
      </c>
      <c r="O32">
        <f t="shared" si="0"/>
        <v>0.83079997968673702</v>
      </c>
      <c r="P32">
        <f t="shared" si="0"/>
        <v>0.86199997138977047</v>
      </c>
      <c r="Q32">
        <f t="shared" si="0"/>
        <v>0.81399999332427975</v>
      </c>
      <c r="R32">
        <f t="shared" si="0"/>
        <v>0.74810002517700191</v>
      </c>
      <c r="S32">
        <f t="shared" si="0"/>
        <v>0.91599999141693111</v>
      </c>
      <c r="T32">
        <f t="shared" si="0"/>
        <v>0.90040002536773678</v>
      </c>
      <c r="U32">
        <f t="shared" si="1"/>
        <v>0.86040000391006466</v>
      </c>
      <c r="V32">
        <f t="shared" si="2"/>
        <v>0.88619999361038204</v>
      </c>
    </row>
    <row r="33" spans="1:22" x14ac:dyDescent="0.2">
      <c r="A33" s="4" t="s">
        <v>40</v>
      </c>
      <c r="B33">
        <v>0.74260002374649048</v>
      </c>
      <c r="C33">
        <v>0.87470000982284546</v>
      </c>
      <c r="D33">
        <v>0.91750001907348633</v>
      </c>
      <c r="E33">
        <v>0.88249999284744263</v>
      </c>
      <c r="F33">
        <v>0.88370001316070557</v>
      </c>
      <c r="G33">
        <v>0.81099998950958252</v>
      </c>
      <c r="H33">
        <v>0.99690002202987671</v>
      </c>
      <c r="I33">
        <v>0.97759997844696045</v>
      </c>
      <c r="J33">
        <v>0.88599997758865356</v>
      </c>
      <c r="K33">
        <v>0.83380001783370972</v>
      </c>
      <c r="M33">
        <f t="shared" si="0"/>
        <v>0.69960002374649044</v>
      </c>
      <c r="N33">
        <f t="shared" si="0"/>
        <v>0.83170000982284542</v>
      </c>
      <c r="O33">
        <f t="shared" si="0"/>
        <v>0.87450001907348629</v>
      </c>
      <c r="P33">
        <f t="shared" si="0"/>
        <v>0.83949999284744259</v>
      </c>
      <c r="Q33">
        <f t="shared" si="0"/>
        <v>0.84070001316070553</v>
      </c>
      <c r="R33">
        <f t="shared" si="0"/>
        <v>0.76799998950958248</v>
      </c>
      <c r="S33">
        <f t="shared" si="0"/>
        <v>0.95390002202987667</v>
      </c>
      <c r="T33">
        <f t="shared" si="0"/>
        <v>0.93459997844696041</v>
      </c>
      <c r="U33">
        <f t="shared" si="1"/>
        <v>0.84299997758865353</v>
      </c>
      <c r="V33">
        <f t="shared" si="2"/>
        <v>0.79080001783370968</v>
      </c>
    </row>
    <row r="34" spans="1:22" x14ac:dyDescent="0.2">
      <c r="A34" s="4" t="s">
        <v>41</v>
      </c>
      <c r="B34">
        <v>4.1999999433755875E-2</v>
      </c>
      <c r="C34">
        <v>4.3200001120567322E-2</v>
      </c>
      <c r="D34">
        <v>4.439999908208847E-2</v>
      </c>
      <c r="E34">
        <v>4.2800001800060272E-2</v>
      </c>
      <c r="F34">
        <v>4.2599998414516449E-2</v>
      </c>
      <c r="G34">
        <v>4.309999942779541E-2</v>
      </c>
      <c r="H34">
        <v>0.96609997749328613</v>
      </c>
      <c r="I34">
        <v>4.3200001120567322E-2</v>
      </c>
      <c r="J34">
        <v>0.97070002555847168</v>
      </c>
      <c r="K34">
        <v>0.86330002546310425</v>
      </c>
      <c r="S34">
        <f>H34-0.043</f>
        <v>0.92309997749328609</v>
      </c>
      <c r="U34">
        <f t="shared" si="1"/>
        <v>0.92770002555847164</v>
      </c>
      <c r="V34">
        <f t="shared" si="2"/>
        <v>0.82030002546310421</v>
      </c>
    </row>
    <row r="36" spans="1:22" x14ac:dyDescent="0.2">
      <c r="B36">
        <f>AVERAGE(B34:F34)</f>
        <v>4.2999999970197676E-2</v>
      </c>
    </row>
    <row r="39" spans="1:22" x14ac:dyDescent="0.2">
      <c r="A39" t="s">
        <v>42</v>
      </c>
      <c r="B39" s="2" t="s">
        <v>43</v>
      </c>
    </row>
    <row r="44" spans="1:22" x14ac:dyDescent="0.2">
      <c r="A44" t="s">
        <v>44</v>
      </c>
    </row>
    <row r="45" spans="1:22" x14ac:dyDescent="0.2">
      <c r="A45" t="s">
        <v>22</v>
      </c>
      <c r="E45" t="s">
        <v>45</v>
      </c>
    </row>
    <row r="46" spans="1:22" x14ac:dyDescent="0.2">
      <c r="A46" t="s">
        <v>46</v>
      </c>
      <c r="E46">
        <v>488</v>
      </c>
      <c r="F46" t="s">
        <v>25</v>
      </c>
    </row>
    <row r="47" spans="1:22" x14ac:dyDescent="0.2">
      <c r="A47" t="s">
        <v>47</v>
      </c>
      <c r="E47">
        <v>520</v>
      </c>
      <c r="F47" t="s">
        <v>25</v>
      </c>
    </row>
    <row r="48" spans="1:22" x14ac:dyDescent="0.2">
      <c r="A48" t="s">
        <v>48</v>
      </c>
      <c r="E48">
        <v>9</v>
      </c>
      <c r="F48" t="s">
        <v>25</v>
      </c>
    </row>
    <row r="49" spans="1:11" x14ac:dyDescent="0.2">
      <c r="A49" t="s">
        <v>49</v>
      </c>
      <c r="E49">
        <v>20</v>
      </c>
      <c r="F49" t="s">
        <v>25</v>
      </c>
    </row>
    <row r="50" spans="1:11" x14ac:dyDescent="0.2">
      <c r="A50" t="s">
        <v>50</v>
      </c>
      <c r="E50">
        <v>50</v>
      </c>
      <c r="F50" t="s">
        <v>51</v>
      </c>
    </row>
    <row r="51" spans="1:11" x14ac:dyDescent="0.2">
      <c r="A51" t="s">
        <v>27</v>
      </c>
      <c r="E51">
        <v>25</v>
      </c>
    </row>
    <row r="52" spans="1:11" x14ac:dyDescent="0.2">
      <c r="A52" t="s">
        <v>52</v>
      </c>
      <c r="E52">
        <v>20</v>
      </c>
      <c r="F52" t="s">
        <v>53</v>
      </c>
    </row>
    <row r="53" spans="1:11" x14ac:dyDescent="0.2">
      <c r="A53" t="s">
        <v>54</v>
      </c>
      <c r="E53">
        <v>0</v>
      </c>
      <c r="F53" t="s">
        <v>53</v>
      </c>
    </row>
    <row r="54" spans="1:11" x14ac:dyDescent="0.2">
      <c r="A54" t="s">
        <v>28</v>
      </c>
      <c r="E54">
        <v>0</v>
      </c>
      <c r="F54" t="s">
        <v>29</v>
      </c>
    </row>
    <row r="55" spans="1:11" x14ac:dyDescent="0.2">
      <c r="A55" t="s">
        <v>55</v>
      </c>
      <c r="E55">
        <v>20000</v>
      </c>
      <c r="F55" t="s">
        <v>56</v>
      </c>
    </row>
    <row r="56" spans="1:11" x14ac:dyDescent="0.2">
      <c r="A56" t="s">
        <v>30</v>
      </c>
      <c r="E56" t="s">
        <v>31</v>
      </c>
    </row>
    <row r="57" spans="1:11" x14ac:dyDescent="0.2">
      <c r="A57" t="s">
        <v>32</v>
      </c>
      <c r="B57" s="2" t="s">
        <v>57</v>
      </c>
    </row>
    <row r="59" spans="1:11" x14ac:dyDescent="0.2">
      <c r="B59" t="s">
        <v>58</v>
      </c>
    </row>
    <row r="60" spans="1:11" x14ac:dyDescent="0.2">
      <c r="A60" s="4" t="s">
        <v>35</v>
      </c>
      <c r="B60" s="4">
        <v>2</v>
      </c>
      <c r="C60" s="4">
        <v>3</v>
      </c>
      <c r="D60" s="4">
        <v>4</v>
      </c>
      <c r="E60" s="4">
        <v>5</v>
      </c>
      <c r="F60" s="4">
        <v>6</v>
      </c>
      <c r="G60" s="4">
        <v>7</v>
      </c>
      <c r="H60" s="4">
        <v>8</v>
      </c>
      <c r="I60" s="4">
        <v>9</v>
      </c>
      <c r="J60" s="4">
        <v>10</v>
      </c>
      <c r="K60" s="4">
        <v>11</v>
      </c>
    </row>
    <row r="61" spans="1:11" x14ac:dyDescent="0.2">
      <c r="A61" s="4" t="s">
        <v>36</v>
      </c>
      <c r="B61">
        <v>97</v>
      </c>
      <c r="C61">
        <v>124</v>
      </c>
      <c r="D61">
        <v>337</v>
      </c>
      <c r="E61">
        <v>482</v>
      </c>
      <c r="F61">
        <v>285</v>
      </c>
      <c r="G61">
        <v>111</v>
      </c>
      <c r="H61">
        <v>133</v>
      </c>
      <c r="I61">
        <v>285</v>
      </c>
      <c r="J61">
        <v>622</v>
      </c>
      <c r="K61">
        <v>501</v>
      </c>
    </row>
    <row r="62" spans="1:11" x14ac:dyDescent="0.2">
      <c r="A62" s="4" t="s">
        <v>37</v>
      </c>
      <c r="B62">
        <v>96</v>
      </c>
      <c r="C62">
        <v>128</v>
      </c>
      <c r="D62">
        <v>307</v>
      </c>
      <c r="E62">
        <v>513</v>
      </c>
      <c r="F62">
        <v>309</v>
      </c>
      <c r="G62">
        <v>106</v>
      </c>
      <c r="H62">
        <v>135</v>
      </c>
      <c r="I62">
        <v>334</v>
      </c>
      <c r="J62">
        <v>657</v>
      </c>
      <c r="K62">
        <v>544</v>
      </c>
    </row>
    <row r="63" spans="1:11" x14ac:dyDescent="0.2">
      <c r="A63" s="4" t="s">
        <v>38</v>
      </c>
      <c r="B63">
        <v>92</v>
      </c>
      <c r="C63">
        <v>120</v>
      </c>
      <c r="D63">
        <v>307</v>
      </c>
      <c r="E63">
        <v>468</v>
      </c>
      <c r="F63">
        <v>302</v>
      </c>
      <c r="G63">
        <v>102</v>
      </c>
      <c r="H63">
        <v>124</v>
      </c>
      <c r="I63">
        <v>333</v>
      </c>
      <c r="J63">
        <v>651</v>
      </c>
      <c r="K63">
        <v>534</v>
      </c>
    </row>
    <row r="64" spans="1:11" x14ac:dyDescent="0.2">
      <c r="A64" s="4" t="s">
        <v>39</v>
      </c>
      <c r="B64">
        <v>90</v>
      </c>
      <c r="C64">
        <v>125</v>
      </c>
      <c r="D64">
        <v>307</v>
      </c>
      <c r="E64">
        <v>475</v>
      </c>
      <c r="F64">
        <v>281</v>
      </c>
      <c r="G64">
        <v>105</v>
      </c>
      <c r="H64">
        <v>140</v>
      </c>
      <c r="I64">
        <v>468</v>
      </c>
      <c r="J64">
        <v>706</v>
      </c>
      <c r="K64">
        <v>531</v>
      </c>
    </row>
    <row r="65" spans="1:22" x14ac:dyDescent="0.2">
      <c r="A65" s="4" t="s">
        <v>40</v>
      </c>
      <c r="B65">
        <v>93</v>
      </c>
      <c r="C65">
        <v>124</v>
      </c>
      <c r="D65">
        <v>312</v>
      </c>
      <c r="E65">
        <v>443</v>
      </c>
      <c r="F65">
        <v>296</v>
      </c>
      <c r="G65">
        <v>109</v>
      </c>
      <c r="H65">
        <v>141</v>
      </c>
      <c r="I65">
        <v>356</v>
      </c>
      <c r="J65">
        <v>661</v>
      </c>
      <c r="K65">
        <v>404</v>
      </c>
    </row>
    <row r="66" spans="1:22" x14ac:dyDescent="0.2">
      <c r="A66" s="4" t="s">
        <v>41</v>
      </c>
      <c r="B66">
        <v>69</v>
      </c>
      <c r="C66">
        <v>69</v>
      </c>
      <c r="D66">
        <v>70</v>
      </c>
      <c r="E66">
        <v>69</v>
      </c>
      <c r="F66">
        <v>69</v>
      </c>
      <c r="G66">
        <v>68</v>
      </c>
      <c r="H66">
        <v>157</v>
      </c>
      <c r="I66">
        <v>68</v>
      </c>
      <c r="J66">
        <v>152</v>
      </c>
      <c r="K66">
        <v>115</v>
      </c>
    </row>
    <row r="71" spans="1:22" x14ac:dyDescent="0.2">
      <c r="A71" t="s">
        <v>42</v>
      </c>
      <c r="B71" s="2" t="s">
        <v>59</v>
      </c>
    </row>
    <row r="76" spans="1:22" ht="16" thickBot="1" x14ac:dyDescent="0.25">
      <c r="A76" t="s">
        <v>60</v>
      </c>
      <c r="M76" s="21" t="s">
        <v>67</v>
      </c>
      <c r="N76" s="21"/>
      <c r="O76" s="21"/>
      <c r="P76" s="21"/>
      <c r="Q76" s="21"/>
      <c r="R76" s="21" t="s">
        <v>68</v>
      </c>
      <c r="S76" s="21"/>
      <c r="T76" s="21"/>
      <c r="U76" s="21"/>
      <c r="V76" s="21"/>
    </row>
    <row r="77" spans="1:22" x14ac:dyDescent="0.2">
      <c r="A77" t="s">
        <v>22</v>
      </c>
      <c r="E77" t="s">
        <v>45</v>
      </c>
      <c r="M77" s="6">
        <f>M93/M29</f>
        <v>952.11264792096017</v>
      </c>
      <c r="N77" s="7">
        <f t="shared" ref="N77:V77" si="3">N93/N29</f>
        <v>1714.0238796668311</v>
      </c>
      <c r="O77" s="7">
        <f t="shared" si="3"/>
        <v>8527.7809597798441</v>
      </c>
      <c r="P77" s="7">
        <f t="shared" si="3"/>
        <v>13925.323098860326</v>
      </c>
      <c r="Q77" s="8">
        <f t="shared" si="3"/>
        <v>8075.7901643419746</v>
      </c>
      <c r="R77" s="6">
        <f t="shared" si="3"/>
        <v>1379.4392654508242</v>
      </c>
      <c r="S77" s="7">
        <f t="shared" si="3"/>
        <v>1995.4233507590711</v>
      </c>
      <c r="T77" s="7">
        <f t="shared" si="3"/>
        <v>7591.5968053625456</v>
      </c>
      <c r="U77" s="7">
        <f t="shared" si="3"/>
        <v>20291.97143856711</v>
      </c>
      <c r="V77" s="8">
        <f t="shared" si="3"/>
        <v>15351.120200432628</v>
      </c>
    </row>
    <row r="78" spans="1:22" x14ac:dyDescent="0.2">
      <c r="A78" t="s">
        <v>46</v>
      </c>
      <c r="E78">
        <v>488</v>
      </c>
      <c r="F78" t="s">
        <v>25</v>
      </c>
      <c r="M78" s="9">
        <f t="shared" ref="M78:V82" si="4">M94/M30</f>
        <v>1007.1314570047048</v>
      </c>
      <c r="N78">
        <f t="shared" si="4"/>
        <v>1826.3576271669479</v>
      </c>
      <c r="O78">
        <f t="shared" si="4"/>
        <v>7845.9008638836503</v>
      </c>
      <c r="P78">
        <f t="shared" si="4"/>
        <v>13852.568707941733</v>
      </c>
      <c r="Q78" s="10">
        <f t="shared" si="4"/>
        <v>8757.9447847506908</v>
      </c>
      <c r="R78" s="9">
        <f t="shared" si="4"/>
        <v>1347.9406178901791</v>
      </c>
      <c r="S78">
        <f t="shared" si="4"/>
        <v>1963.7258793421772</v>
      </c>
      <c r="T78">
        <f t="shared" si="4"/>
        <v>8407.9486162165067</v>
      </c>
      <c r="U78">
        <f t="shared" si="4"/>
        <v>20224.73330919697</v>
      </c>
      <c r="V78" s="10">
        <f t="shared" si="4"/>
        <v>15378.07270078094</v>
      </c>
    </row>
    <row r="79" spans="1:22" x14ac:dyDescent="0.2">
      <c r="A79" t="s">
        <v>47</v>
      </c>
      <c r="E79">
        <v>520</v>
      </c>
      <c r="F79" t="s">
        <v>25</v>
      </c>
      <c r="M79" s="9">
        <f t="shared" si="4"/>
        <v>813.33131518677499</v>
      </c>
      <c r="N79">
        <f t="shared" si="4"/>
        <v>1599.9999737385831</v>
      </c>
      <c r="O79">
        <f t="shared" si="4"/>
        <v>8218.3977084792496</v>
      </c>
      <c r="P79">
        <f t="shared" si="4"/>
        <v>13067.261048486946</v>
      </c>
      <c r="Q79" s="10">
        <f t="shared" si="4"/>
        <v>8042.6164775880816</v>
      </c>
      <c r="R79" s="9">
        <f t="shared" si="4"/>
        <v>1165.1552712899647</v>
      </c>
      <c r="S79">
        <f t="shared" si="4"/>
        <v>1732.6254712615175</v>
      </c>
      <c r="T79">
        <f t="shared" si="4"/>
        <v>8095.7633908452726</v>
      </c>
      <c r="U79">
        <f t="shared" si="4"/>
        <v>19600.81737100421</v>
      </c>
      <c r="V79" s="10">
        <f t="shared" si="4"/>
        <v>15324.613585327603</v>
      </c>
    </row>
    <row r="80" spans="1:22" x14ac:dyDescent="0.2">
      <c r="A80" t="s">
        <v>48</v>
      </c>
      <c r="E80">
        <v>9</v>
      </c>
      <c r="F80" t="s">
        <v>25</v>
      </c>
      <c r="M80" s="9">
        <f t="shared" si="4"/>
        <v>700.58138903659585</v>
      </c>
      <c r="N80">
        <f t="shared" si="4"/>
        <v>1694.2630278607746</v>
      </c>
      <c r="O80">
        <f t="shared" si="4"/>
        <v>7976.6492080305406</v>
      </c>
      <c r="P80">
        <f t="shared" si="4"/>
        <v>13127.610644528948</v>
      </c>
      <c r="Q80" s="10">
        <f t="shared" si="4"/>
        <v>7232.1867914988397</v>
      </c>
      <c r="R80" s="9">
        <f t="shared" si="4"/>
        <v>1213.7414375640014</v>
      </c>
      <c r="S80">
        <f t="shared" si="4"/>
        <v>2101.5284039711387</v>
      </c>
      <c r="T80">
        <f t="shared" si="4"/>
        <v>12344.513201741047</v>
      </c>
      <c r="U80">
        <f t="shared" si="4"/>
        <v>20593.909715802511</v>
      </c>
      <c r="V80" s="10">
        <f t="shared" si="4"/>
        <v>14554.276791916349</v>
      </c>
    </row>
    <row r="81" spans="1:22" ht="16" thickBot="1" x14ac:dyDescent="0.25">
      <c r="A81" t="s">
        <v>49</v>
      </c>
      <c r="E81">
        <v>20</v>
      </c>
      <c r="F81" t="s">
        <v>25</v>
      </c>
      <c r="M81" s="11">
        <f t="shared" si="4"/>
        <v>844.76841043412662</v>
      </c>
      <c r="N81" s="12">
        <f t="shared" si="4"/>
        <v>1773.4759920397012</v>
      </c>
      <c r="O81" s="12">
        <f t="shared" si="4"/>
        <v>7722.1267612488518</v>
      </c>
      <c r="P81" s="12">
        <f t="shared" si="4"/>
        <v>12428.826788442999</v>
      </c>
      <c r="Q81" s="13">
        <f t="shared" si="4"/>
        <v>7569.8821224872254</v>
      </c>
      <c r="R81" s="11">
        <f t="shared" si="4"/>
        <v>1355.4687685148872</v>
      </c>
      <c r="S81" s="12">
        <f t="shared" si="4"/>
        <v>2073.5925718828089</v>
      </c>
      <c r="T81" s="12">
        <f t="shared" si="4"/>
        <v>8539.482328324204</v>
      </c>
      <c r="U81" s="12">
        <f t="shared" si="4"/>
        <v>19542.112026055805</v>
      </c>
      <c r="V81" s="13">
        <f t="shared" si="4"/>
        <v>11860.141361266669</v>
      </c>
    </row>
    <row r="82" spans="1:22" x14ac:dyDescent="0.2">
      <c r="A82" t="s">
        <v>50</v>
      </c>
      <c r="E82">
        <v>80</v>
      </c>
      <c r="F82" t="s">
        <v>51</v>
      </c>
      <c r="S82">
        <f t="shared" si="4"/>
        <v>2588.0186959677135</v>
      </c>
      <c r="U82">
        <f t="shared" si="4"/>
        <v>2440.4440418518702</v>
      </c>
      <c r="V82">
        <f t="shared" si="4"/>
        <v>1448.2505950543023</v>
      </c>
    </row>
    <row r="83" spans="1:22" ht="16" thickBot="1" x14ac:dyDescent="0.25">
      <c r="A83" t="s">
        <v>27</v>
      </c>
      <c r="E83">
        <v>25</v>
      </c>
    </row>
    <row r="84" spans="1:22" ht="16" thickBot="1" x14ac:dyDescent="0.25">
      <c r="A84" t="s">
        <v>52</v>
      </c>
      <c r="E84">
        <v>20</v>
      </c>
      <c r="F84" t="s">
        <v>53</v>
      </c>
      <c r="M84" s="14">
        <f>AVERAGE(M77:M81)</f>
        <v>863.58504391663246</v>
      </c>
      <c r="N84" s="15">
        <f t="shared" ref="N84:V84" si="5">AVERAGE(N77:N81)</f>
        <v>1721.6241000945677</v>
      </c>
      <c r="O84" s="15">
        <f t="shared" si="5"/>
        <v>8058.1711002844268</v>
      </c>
      <c r="P84" s="15">
        <f t="shared" si="5"/>
        <v>13280.31805765219</v>
      </c>
      <c r="Q84" s="15">
        <f t="shared" si="5"/>
        <v>7935.6840681333615</v>
      </c>
      <c r="R84" s="15">
        <f t="shared" si="5"/>
        <v>1292.3490721419714</v>
      </c>
      <c r="S84" s="15">
        <f t="shared" si="5"/>
        <v>1973.3791354433426</v>
      </c>
      <c r="T84" s="15">
        <f t="shared" si="5"/>
        <v>8995.8608684979154</v>
      </c>
      <c r="U84" s="15">
        <f t="shared" si="5"/>
        <v>20050.708772125323</v>
      </c>
      <c r="V84" s="16">
        <f t="shared" si="5"/>
        <v>14493.644927944837</v>
      </c>
    </row>
    <row r="85" spans="1:22" ht="16" thickBot="1" x14ac:dyDescent="0.25">
      <c r="A85" t="s">
        <v>54</v>
      </c>
      <c r="E85">
        <v>0</v>
      </c>
      <c r="F85" t="s">
        <v>53</v>
      </c>
    </row>
    <row r="86" spans="1:22" ht="16" thickBot="1" x14ac:dyDescent="0.25">
      <c r="A86" t="s">
        <v>28</v>
      </c>
      <c r="E86">
        <v>0</v>
      </c>
      <c r="F86" t="s">
        <v>29</v>
      </c>
      <c r="M86" s="17">
        <v>995.26926188511038</v>
      </c>
      <c r="N86" s="18">
        <v>1839.9480007854852</v>
      </c>
      <c r="O86" s="18">
        <v>7479.3874566762634</v>
      </c>
      <c r="P86" s="18">
        <v>22988.972966939564</v>
      </c>
      <c r="Q86" s="19">
        <v>39196.934282466937</v>
      </c>
      <c r="R86" s="17">
        <v>1343.1477284863747</v>
      </c>
      <c r="S86" s="18">
        <v>1901.2653095780531</v>
      </c>
      <c r="T86" s="18">
        <v>7179.4253356566878</v>
      </c>
      <c r="U86" s="18">
        <v>28186.720248912658</v>
      </c>
      <c r="V86" s="19">
        <v>68664.207759142155</v>
      </c>
    </row>
    <row r="87" spans="1:22" x14ac:dyDescent="0.2">
      <c r="A87" t="s">
        <v>55</v>
      </c>
      <c r="E87">
        <v>20000</v>
      </c>
      <c r="F87" t="s">
        <v>56</v>
      </c>
    </row>
    <row r="88" spans="1:22" x14ac:dyDescent="0.2">
      <c r="A88" t="s">
        <v>30</v>
      </c>
      <c r="E88" t="s">
        <v>31</v>
      </c>
      <c r="M88">
        <f t="shared" ref="M88:V88" si="6">M84/M86</f>
        <v>0.86768985739692317</v>
      </c>
      <c r="N88">
        <f t="shared" si="6"/>
        <v>0.93569171485259128</v>
      </c>
      <c r="O88">
        <f t="shared" si="6"/>
        <v>1.0773838294861338</v>
      </c>
      <c r="P88">
        <f t="shared" si="6"/>
        <v>0.57768209466123654</v>
      </c>
      <c r="Q88">
        <f t="shared" si="6"/>
        <v>0.20245675365695751</v>
      </c>
      <c r="R88">
        <f t="shared" si="6"/>
        <v>0.96217939749512926</v>
      </c>
      <c r="S88">
        <f t="shared" si="6"/>
        <v>1.0379293860262426</v>
      </c>
      <c r="T88">
        <f t="shared" si="6"/>
        <v>1.2530057000272545</v>
      </c>
      <c r="U88">
        <f t="shared" si="6"/>
        <v>0.71135302706595693</v>
      </c>
      <c r="V88">
        <f t="shared" si="6"/>
        <v>0.21108005758669968</v>
      </c>
    </row>
    <row r="89" spans="1:22" x14ac:dyDescent="0.2">
      <c r="A89" t="s">
        <v>32</v>
      </c>
      <c r="B89" s="2" t="s">
        <v>61</v>
      </c>
    </row>
    <row r="90" spans="1:22" x14ac:dyDescent="0.2">
      <c r="L90" t="s">
        <v>69</v>
      </c>
      <c r="M90">
        <v>560.50060324237359</v>
      </c>
      <c r="N90">
        <v>1550.8691390935567</v>
      </c>
      <c r="O90">
        <v>5720.2962243825514</v>
      </c>
      <c r="P90">
        <v>6428.4142962945298</v>
      </c>
      <c r="Q90">
        <v>1009.7939464063736</v>
      </c>
      <c r="R90">
        <v>1428.7871499793532</v>
      </c>
      <c r="S90">
        <v>2274.6774362749138</v>
      </c>
      <c r="T90">
        <v>3403.4260458970034</v>
      </c>
      <c r="U90">
        <v>3585.64793861114</v>
      </c>
      <c r="V90">
        <v>1235.0972965924254</v>
      </c>
    </row>
    <row r="91" spans="1:22" x14ac:dyDescent="0.2">
      <c r="B91" t="s">
        <v>58</v>
      </c>
      <c r="L91" t="s">
        <v>70</v>
      </c>
      <c r="M91">
        <f>M84/M90</f>
        <v>1.5407388304686589</v>
      </c>
      <c r="N91">
        <f t="shared" ref="N91:V91" si="7">N84/N90</f>
        <v>1.1101027525125768</v>
      </c>
      <c r="O91" s="20">
        <f t="shared" si="7"/>
        <v>1.4086982184483332</v>
      </c>
      <c r="P91" s="20">
        <f t="shared" si="7"/>
        <v>2.0658777492463791</v>
      </c>
      <c r="Q91" s="20">
        <f t="shared" si="7"/>
        <v>7.8587162226260627</v>
      </c>
      <c r="R91">
        <f t="shared" si="7"/>
        <v>0.90450776531735089</v>
      </c>
      <c r="S91">
        <f t="shared" si="7"/>
        <v>0.86754240578172392</v>
      </c>
      <c r="T91" s="20">
        <f t="shared" si="7"/>
        <v>2.6431780056872003</v>
      </c>
      <c r="U91" s="20">
        <f t="shared" si="7"/>
        <v>5.5919346002194894</v>
      </c>
      <c r="V91" s="20">
        <f t="shared" si="7"/>
        <v>11.73482038049319</v>
      </c>
    </row>
    <row r="92" spans="1:22" x14ac:dyDescent="0.2">
      <c r="A92" s="4" t="s">
        <v>35</v>
      </c>
      <c r="B92" s="4">
        <v>2</v>
      </c>
      <c r="C92" s="4">
        <v>3</v>
      </c>
      <c r="D92" s="4">
        <v>4</v>
      </c>
      <c r="E92" s="4">
        <v>5</v>
      </c>
      <c r="F92" s="4">
        <v>6</v>
      </c>
      <c r="G92" s="4">
        <v>7</v>
      </c>
      <c r="H92" s="4">
        <v>8</v>
      </c>
      <c r="I92" s="4">
        <v>9</v>
      </c>
      <c r="J92" s="4">
        <v>10</v>
      </c>
      <c r="K92" s="4">
        <v>11</v>
      </c>
    </row>
    <row r="93" spans="1:22" x14ac:dyDescent="0.2">
      <c r="A93" s="4" t="s">
        <v>36</v>
      </c>
      <c r="B93">
        <v>2714</v>
      </c>
      <c r="C93">
        <v>3534</v>
      </c>
      <c r="D93">
        <v>9574</v>
      </c>
      <c r="E93">
        <v>13674</v>
      </c>
      <c r="F93">
        <v>8069</v>
      </c>
      <c r="G93">
        <v>3145</v>
      </c>
      <c r="H93">
        <v>3782</v>
      </c>
      <c r="I93">
        <v>8109</v>
      </c>
      <c r="J93">
        <v>17606</v>
      </c>
      <c r="K93">
        <v>14236</v>
      </c>
      <c r="M93">
        <f t="shared" ref="M93:M98" si="8">B93-2038</f>
        <v>676</v>
      </c>
      <c r="N93">
        <f t="shared" ref="N93:V98" si="9">C93-2038</f>
        <v>1496</v>
      </c>
      <c r="O93">
        <f t="shared" si="9"/>
        <v>7536</v>
      </c>
      <c r="P93">
        <f t="shared" si="9"/>
        <v>11636</v>
      </c>
      <c r="Q93">
        <f t="shared" si="9"/>
        <v>6031</v>
      </c>
      <c r="R93">
        <f t="shared" si="9"/>
        <v>1107</v>
      </c>
      <c r="S93">
        <f t="shared" si="9"/>
        <v>1744</v>
      </c>
      <c r="T93">
        <f t="shared" si="9"/>
        <v>6071</v>
      </c>
      <c r="U93">
        <f t="shared" si="9"/>
        <v>15568</v>
      </c>
      <c r="V93">
        <f t="shared" si="9"/>
        <v>12198</v>
      </c>
    </row>
    <row r="94" spans="1:22" x14ac:dyDescent="0.2">
      <c r="A94" s="4" t="s">
        <v>37</v>
      </c>
      <c r="B94">
        <v>2730</v>
      </c>
      <c r="C94">
        <v>3622</v>
      </c>
      <c r="D94">
        <v>8718</v>
      </c>
      <c r="E94">
        <v>14497</v>
      </c>
      <c r="F94">
        <v>8652</v>
      </c>
      <c r="G94">
        <v>3010</v>
      </c>
      <c r="H94">
        <v>3792</v>
      </c>
      <c r="I94">
        <v>9400</v>
      </c>
      <c r="J94">
        <v>18507</v>
      </c>
      <c r="K94">
        <v>15237</v>
      </c>
      <c r="M94">
        <f t="shared" si="8"/>
        <v>692</v>
      </c>
      <c r="N94">
        <f t="shared" si="9"/>
        <v>1584</v>
      </c>
      <c r="O94">
        <f t="shared" si="9"/>
        <v>6680</v>
      </c>
      <c r="P94">
        <f t="shared" si="9"/>
        <v>12459</v>
      </c>
      <c r="Q94">
        <f t="shared" si="9"/>
        <v>6614</v>
      </c>
      <c r="R94">
        <f t="shared" si="9"/>
        <v>972</v>
      </c>
      <c r="S94">
        <f t="shared" si="9"/>
        <v>1754</v>
      </c>
      <c r="T94">
        <f t="shared" si="9"/>
        <v>7362</v>
      </c>
      <c r="U94">
        <f t="shared" si="9"/>
        <v>16469</v>
      </c>
      <c r="V94">
        <f t="shared" si="9"/>
        <v>13199</v>
      </c>
    </row>
    <row r="95" spans="1:22" x14ac:dyDescent="0.2">
      <c r="A95" s="4" t="s">
        <v>38</v>
      </c>
      <c r="B95">
        <v>2570</v>
      </c>
      <c r="C95">
        <v>3386</v>
      </c>
      <c r="D95">
        <v>8676</v>
      </c>
      <c r="E95">
        <v>13170</v>
      </c>
      <c r="F95">
        <v>8530</v>
      </c>
      <c r="G95">
        <v>2886</v>
      </c>
      <c r="H95">
        <v>3474</v>
      </c>
      <c r="I95">
        <v>9376</v>
      </c>
      <c r="J95">
        <v>18340</v>
      </c>
      <c r="K95">
        <v>15044</v>
      </c>
      <c r="M95">
        <f t="shared" si="8"/>
        <v>532</v>
      </c>
      <c r="N95">
        <f t="shared" si="9"/>
        <v>1348</v>
      </c>
      <c r="O95">
        <f t="shared" si="9"/>
        <v>6638</v>
      </c>
      <c r="P95">
        <f t="shared" si="9"/>
        <v>11132</v>
      </c>
      <c r="Q95">
        <f t="shared" si="9"/>
        <v>6492</v>
      </c>
      <c r="R95">
        <f t="shared" si="9"/>
        <v>848</v>
      </c>
      <c r="S95">
        <f t="shared" si="9"/>
        <v>1436</v>
      </c>
      <c r="T95">
        <f t="shared" si="9"/>
        <v>7338</v>
      </c>
      <c r="U95">
        <f t="shared" si="9"/>
        <v>16302</v>
      </c>
      <c r="V95">
        <f t="shared" si="9"/>
        <v>13006</v>
      </c>
    </row>
    <row r="96" spans="1:22" x14ac:dyDescent="0.2">
      <c r="A96" s="4" t="s">
        <v>39</v>
      </c>
      <c r="B96">
        <v>2520</v>
      </c>
      <c r="C96">
        <v>3491</v>
      </c>
      <c r="D96">
        <v>8665</v>
      </c>
      <c r="E96">
        <v>13354</v>
      </c>
      <c r="F96">
        <v>7925</v>
      </c>
      <c r="G96">
        <v>2946</v>
      </c>
      <c r="H96">
        <v>3963</v>
      </c>
      <c r="I96">
        <v>13153</v>
      </c>
      <c r="J96">
        <v>19757</v>
      </c>
      <c r="K96">
        <v>14936</v>
      </c>
      <c r="M96">
        <f t="shared" si="8"/>
        <v>482</v>
      </c>
      <c r="N96">
        <f t="shared" si="9"/>
        <v>1453</v>
      </c>
      <c r="O96">
        <f t="shared" si="9"/>
        <v>6627</v>
      </c>
      <c r="P96">
        <f t="shared" si="9"/>
        <v>11316</v>
      </c>
      <c r="Q96">
        <f t="shared" si="9"/>
        <v>5887</v>
      </c>
      <c r="R96">
        <f t="shared" si="9"/>
        <v>908</v>
      </c>
      <c r="S96">
        <f t="shared" si="9"/>
        <v>1925</v>
      </c>
      <c r="T96">
        <f t="shared" si="9"/>
        <v>11115</v>
      </c>
      <c r="U96">
        <f t="shared" si="9"/>
        <v>17719</v>
      </c>
      <c r="V96">
        <f t="shared" si="9"/>
        <v>12898</v>
      </c>
    </row>
    <row r="97" spans="1:22" x14ac:dyDescent="0.2">
      <c r="A97" s="4" t="s">
        <v>40</v>
      </c>
      <c r="B97">
        <v>2629</v>
      </c>
      <c r="C97">
        <v>3513</v>
      </c>
      <c r="D97">
        <v>8791</v>
      </c>
      <c r="E97">
        <v>12472</v>
      </c>
      <c r="F97">
        <v>8402</v>
      </c>
      <c r="G97">
        <v>3079</v>
      </c>
      <c r="H97">
        <v>4016</v>
      </c>
      <c r="I97">
        <v>10019</v>
      </c>
      <c r="J97">
        <v>18512</v>
      </c>
      <c r="K97">
        <v>11417</v>
      </c>
      <c r="M97">
        <f t="shared" si="8"/>
        <v>591</v>
      </c>
      <c r="N97">
        <f t="shared" si="9"/>
        <v>1475</v>
      </c>
      <c r="O97">
        <f t="shared" si="9"/>
        <v>6753</v>
      </c>
      <c r="P97">
        <f t="shared" si="9"/>
        <v>10434</v>
      </c>
      <c r="Q97">
        <f t="shared" si="9"/>
        <v>6364</v>
      </c>
      <c r="R97">
        <f t="shared" si="9"/>
        <v>1041</v>
      </c>
      <c r="S97">
        <f t="shared" si="9"/>
        <v>1978</v>
      </c>
      <c r="T97">
        <f t="shared" si="9"/>
        <v>7981</v>
      </c>
      <c r="U97">
        <f t="shared" si="9"/>
        <v>16474</v>
      </c>
      <c r="V97">
        <f t="shared" si="9"/>
        <v>9379</v>
      </c>
    </row>
    <row r="98" spans="1:22" x14ac:dyDescent="0.2">
      <c r="A98" s="4" t="s">
        <v>41</v>
      </c>
      <c r="B98">
        <v>1933</v>
      </c>
      <c r="C98">
        <v>1932</v>
      </c>
      <c r="D98">
        <v>1955</v>
      </c>
      <c r="E98">
        <v>1948</v>
      </c>
      <c r="F98">
        <v>1943</v>
      </c>
      <c r="G98">
        <v>1918</v>
      </c>
      <c r="H98">
        <v>4427</v>
      </c>
      <c r="I98">
        <v>1940</v>
      </c>
      <c r="J98">
        <v>4302</v>
      </c>
      <c r="K98">
        <v>3226</v>
      </c>
      <c r="M98">
        <f t="shared" si="8"/>
        <v>-105</v>
      </c>
      <c r="N98">
        <f t="shared" si="9"/>
        <v>-106</v>
      </c>
      <c r="O98">
        <f t="shared" si="9"/>
        <v>-83</v>
      </c>
      <c r="P98">
        <f t="shared" si="9"/>
        <v>-90</v>
      </c>
      <c r="Q98">
        <f t="shared" si="9"/>
        <v>-95</v>
      </c>
      <c r="R98">
        <f t="shared" si="9"/>
        <v>-120</v>
      </c>
      <c r="S98">
        <f t="shared" si="9"/>
        <v>2389</v>
      </c>
      <c r="T98">
        <f t="shared" si="9"/>
        <v>-98</v>
      </c>
      <c r="U98">
        <f t="shared" si="9"/>
        <v>2264</v>
      </c>
      <c r="V98">
        <f t="shared" si="9"/>
        <v>1188</v>
      </c>
    </row>
    <row r="100" spans="1:22" x14ac:dyDescent="0.2">
      <c r="B100">
        <f>AVERAGE(B98:F98)</f>
        <v>1942.2</v>
      </c>
    </row>
    <row r="103" spans="1:22" x14ac:dyDescent="0.2">
      <c r="A103" t="s">
        <v>42</v>
      </c>
      <c r="B103" s="2" t="s">
        <v>62</v>
      </c>
    </row>
    <row r="108" spans="1:22" x14ac:dyDescent="0.2">
      <c r="A108" t="s">
        <v>63</v>
      </c>
    </row>
    <row r="109" spans="1:22" x14ac:dyDescent="0.2">
      <c r="A109" t="s">
        <v>22</v>
      </c>
      <c r="E109" t="s">
        <v>45</v>
      </c>
    </row>
    <row r="110" spans="1:22" x14ac:dyDescent="0.2">
      <c r="A110" t="s">
        <v>46</v>
      </c>
      <c r="E110">
        <v>488</v>
      </c>
      <c r="F110" t="s">
        <v>25</v>
      </c>
    </row>
    <row r="111" spans="1:22" x14ac:dyDescent="0.2">
      <c r="A111" t="s">
        <v>47</v>
      </c>
      <c r="E111">
        <v>520</v>
      </c>
      <c r="F111" t="s">
        <v>25</v>
      </c>
    </row>
    <row r="112" spans="1:22" x14ac:dyDescent="0.2">
      <c r="A112" t="s">
        <v>48</v>
      </c>
      <c r="E112">
        <v>9</v>
      </c>
      <c r="F112" t="s">
        <v>25</v>
      </c>
    </row>
    <row r="113" spans="1:11" x14ac:dyDescent="0.2">
      <c r="A113" t="s">
        <v>49</v>
      </c>
      <c r="E113">
        <v>20</v>
      </c>
      <c r="F113" t="s">
        <v>25</v>
      </c>
    </row>
    <row r="114" spans="1:11" x14ac:dyDescent="0.2">
      <c r="A114" t="s">
        <v>50</v>
      </c>
      <c r="E114">
        <v>100</v>
      </c>
      <c r="F114" t="s">
        <v>51</v>
      </c>
    </row>
    <row r="115" spans="1:11" x14ac:dyDescent="0.2">
      <c r="A115" t="s">
        <v>27</v>
      </c>
      <c r="E115">
        <v>25</v>
      </c>
    </row>
    <row r="116" spans="1:11" x14ac:dyDescent="0.2">
      <c r="A116" t="s">
        <v>52</v>
      </c>
      <c r="E116">
        <v>20</v>
      </c>
      <c r="F116" t="s">
        <v>53</v>
      </c>
    </row>
    <row r="117" spans="1:11" x14ac:dyDescent="0.2">
      <c r="A117" t="s">
        <v>54</v>
      </c>
      <c r="E117">
        <v>0</v>
      </c>
      <c r="F117" t="s">
        <v>53</v>
      </c>
    </row>
    <row r="118" spans="1:11" x14ac:dyDescent="0.2">
      <c r="A118" t="s">
        <v>28</v>
      </c>
      <c r="E118">
        <v>0</v>
      </c>
      <c r="F118" t="s">
        <v>29</v>
      </c>
    </row>
    <row r="119" spans="1:11" x14ac:dyDescent="0.2">
      <c r="A119" t="s">
        <v>55</v>
      </c>
      <c r="E119">
        <v>20000</v>
      </c>
      <c r="F119" t="s">
        <v>56</v>
      </c>
    </row>
    <row r="120" spans="1:11" x14ac:dyDescent="0.2">
      <c r="A120" t="s">
        <v>30</v>
      </c>
      <c r="E120" t="s">
        <v>31</v>
      </c>
    </row>
    <row r="121" spans="1:11" x14ac:dyDescent="0.2">
      <c r="A121" t="s">
        <v>32</v>
      </c>
      <c r="B121" s="2" t="s">
        <v>64</v>
      </c>
    </row>
    <row r="123" spans="1:11" x14ac:dyDescent="0.2">
      <c r="B123" t="s">
        <v>58</v>
      </c>
    </row>
    <row r="124" spans="1:11" x14ac:dyDescent="0.2">
      <c r="A124" s="4" t="s">
        <v>35</v>
      </c>
      <c r="B124" s="4">
        <v>2</v>
      </c>
      <c r="C124" s="4">
        <v>3</v>
      </c>
      <c r="D124" s="4">
        <v>4</v>
      </c>
      <c r="E124" s="4">
        <v>5</v>
      </c>
      <c r="F124" s="4">
        <v>6</v>
      </c>
      <c r="G124" s="4">
        <v>7</v>
      </c>
      <c r="H124" s="4">
        <v>8</v>
      </c>
      <c r="I124" s="4">
        <v>9</v>
      </c>
      <c r="J124" s="4">
        <v>10</v>
      </c>
      <c r="K124" s="4">
        <v>11</v>
      </c>
    </row>
    <row r="125" spans="1:11" x14ac:dyDescent="0.2">
      <c r="A125" s="4" t="s">
        <v>36</v>
      </c>
      <c r="B125">
        <v>13140</v>
      </c>
      <c r="C125">
        <v>17015</v>
      </c>
      <c r="D125">
        <v>45857</v>
      </c>
      <c r="E125" s="5" t="s">
        <v>65</v>
      </c>
      <c r="F125">
        <v>38755</v>
      </c>
      <c r="G125">
        <v>15152</v>
      </c>
      <c r="H125">
        <v>18243</v>
      </c>
      <c r="I125">
        <v>38731</v>
      </c>
      <c r="J125" s="5" t="s">
        <v>65</v>
      </c>
      <c r="K125" s="5" t="s">
        <v>65</v>
      </c>
    </row>
    <row r="126" spans="1:11" x14ac:dyDescent="0.2">
      <c r="A126" s="4" t="s">
        <v>37</v>
      </c>
      <c r="B126">
        <v>13100</v>
      </c>
      <c r="C126">
        <v>17407</v>
      </c>
      <c r="D126">
        <v>41594</v>
      </c>
      <c r="E126" s="5" t="s">
        <v>65</v>
      </c>
      <c r="F126">
        <v>41383</v>
      </c>
      <c r="G126">
        <v>14418</v>
      </c>
      <c r="H126">
        <v>18208</v>
      </c>
      <c r="I126">
        <v>44966</v>
      </c>
      <c r="J126" s="5" t="s">
        <v>65</v>
      </c>
      <c r="K126" s="5" t="s">
        <v>65</v>
      </c>
    </row>
    <row r="127" spans="1:11" x14ac:dyDescent="0.2">
      <c r="A127" s="4" t="s">
        <v>38</v>
      </c>
      <c r="B127">
        <v>12358</v>
      </c>
      <c r="C127">
        <v>16294</v>
      </c>
      <c r="D127">
        <v>41295</v>
      </c>
      <c r="E127">
        <v>62339</v>
      </c>
      <c r="F127">
        <v>40633</v>
      </c>
      <c r="G127">
        <v>13892</v>
      </c>
      <c r="H127">
        <v>16773</v>
      </c>
      <c r="I127">
        <v>44875</v>
      </c>
      <c r="J127" s="5" t="s">
        <v>65</v>
      </c>
      <c r="K127" s="5" t="s">
        <v>65</v>
      </c>
    </row>
    <row r="128" spans="1:11" x14ac:dyDescent="0.2">
      <c r="A128" s="4" t="s">
        <v>39</v>
      </c>
      <c r="B128">
        <v>12142</v>
      </c>
      <c r="C128">
        <v>16854</v>
      </c>
      <c r="D128">
        <v>41560</v>
      </c>
      <c r="E128">
        <v>63389</v>
      </c>
      <c r="F128">
        <v>38227</v>
      </c>
      <c r="G128">
        <v>14217</v>
      </c>
      <c r="H128">
        <v>19011</v>
      </c>
      <c r="I128">
        <v>62440</v>
      </c>
      <c r="J128" s="5" t="s">
        <v>65</v>
      </c>
      <c r="K128" s="5" t="s">
        <v>65</v>
      </c>
    </row>
    <row r="129" spans="1:11" x14ac:dyDescent="0.2">
      <c r="A129" s="4" t="s">
        <v>40</v>
      </c>
      <c r="B129">
        <v>12661</v>
      </c>
      <c r="C129">
        <v>16950</v>
      </c>
      <c r="D129">
        <v>42108</v>
      </c>
      <c r="E129">
        <v>59252</v>
      </c>
      <c r="F129">
        <v>40298</v>
      </c>
      <c r="G129">
        <v>14839</v>
      </c>
      <c r="H129">
        <v>19366</v>
      </c>
      <c r="I129">
        <v>48068</v>
      </c>
      <c r="J129" s="5" t="s">
        <v>65</v>
      </c>
      <c r="K129">
        <v>54267</v>
      </c>
    </row>
    <row r="130" spans="1:11" x14ac:dyDescent="0.2">
      <c r="A130" s="4" t="s">
        <v>41</v>
      </c>
      <c r="B130">
        <v>9259</v>
      </c>
      <c r="C130">
        <v>9328</v>
      </c>
      <c r="D130">
        <v>9442</v>
      </c>
      <c r="E130">
        <v>9374</v>
      </c>
      <c r="F130">
        <v>9336</v>
      </c>
      <c r="G130">
        <v>9254</v>
      </c>
      <c r="H130">
        <v>21315</v>
      </c>
      <c r="I130">
        <v>9327</v>
      </c>
      <c r="J130">
        <v>20704</v>
      </c>
      <c r="K130">
        <v>15536</v>
      </c>
    </row>
    <row r="135" spans="1:11" x14ac:dyDescent="0.2">
      <c r="A135" t="s">
        <v>42</v>
      </c>
      <c r="B135" s="2" t="s">
        <v>66</v>
      </c>
    </row>
  </sheetData>
  <mergeCells count="2">
    <mergeCell ref="M76:Q76"/>
    <mergeCell ref="R76:V76"/>
  </mergeCells>
  <conditionalFormatting sqref="M77:Q81">
    <cfRule type="colorScale" priority="2">
      <colorScale>
        <cfvo type="min"/>
        <cfvo type="max"/>
        <color rgb="FFFCFCFF"/>
        <color rgb="FF63BE7B"/>
      </colorScale>
    </cfRule>
  </conditionalFormatting>
  <conditionalFormatting sqref="R77:V8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tet10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Yuanchi Ha</cp:lastModifiedBy>
  <dcterms:created xsi:type="dcterms:W3CDTF">2024-08-06T20:39:09Z</dcterms:created>
  <dcterms:modified xsi:type="dcterms:W3CDTF">2025-09-20T23:25:38Z</dcterms:modified>
</cp:coreProperties>
</file>